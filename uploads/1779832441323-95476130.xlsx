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E0DB0EFC-7568-4C82-A077-63B3D8C1EAB4}" xr6:coauthVersionLast="47" xr6:coauthVersionMax="47" xr10:uidLastSave="{00000000-0000-0000-0000-000000000000}"/>
  <bookViews>
    <workbookView xWindow="-120" yWindow="-120" windowWidth="24240" windowHeight="13140" xr2:uid="{FB7E4C60-7F5A-4580-9EBB-DCC1565FF135}"/>
  </bookViews>
  <sheets>
    <sheet name="MOVIMIENTOS ABRIL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12" i="1" l="1"/>
  <c r="F221" i="1" l="1"/>
  <c r="F826" i="1"/>
  <c r="F121" i="1"/>
  <c r="F217" i="1" l="1"/>
  <c r="F279" i="1"/>
  <c r="F417" i="1"/>
  <c r="F535" i="1" l="1"/>
  <c r="F814" i="1" l="1"/>
  <c r="L1" i="1" l="1"/>
</calcChain>
</file>

<file path=xl/sharedStrings.xml><?xml version="1.0" encoding="utf-8"?>
<sst xmlns="http://schemas.openxmlformats.org/spreadsheetml/2006/main" count="898" uniqueCount="217">
  <si>
    <t>FECHA</t>
  </si>
  <si>
    <t>DOCUMENTO</t>
  </si>
  <si>
    <t>OFICINA</t>
  </si>
  <si>
    <t>DESCRIPCIÓN</t>
  </si>
  <si>
    <t>VALOR</t>
  </si>
  <si>
    <t>CAJA:</t>
  </si>
  <si>
    <t xml:space="preserve">COLPATRIA </t>
  </si>
  <si>
    <t>TOTAL:</t>
  </si>
  <si>
    <t xml:space="preserve"> TRANSFERENCIA CTA SUC VIRTUAL</t>
  </si>
  <si>
    <t xml:space="preserve"> IMPTO GOBIERNO 4X1000</t>
  </si>
  <si>
    <t xml:space="preserve"> PAGO PSE NUEVA EMPRESA PROMOT</t>
  </si>
  <si>
    <t xml:space="preserve"> PAGO PSE BANCO AGRARIO DE COL</t>
  </si>
  <si>
    <t xml:space="preserve"> TRANSFERENCIA DESDE NEQUI</t>
  </si>
  <si>
    <t xml:space="preserve"> ABONO INTERESES AHORROS</t>
  </si>
  <si>
    <t xml:space="preserve"> COBRO IVA PAGOS AUTOMATICOS</t>
  </si>
  <si>
    <t xml:space="preserve"> SERVICIO PAGO A PROVEEDORES</t>
  </si>
  <si>
    <t xml:space="preserve"> PAGO INTERBANC ROCAS DEL MAR A</t>
  </si>
  <si>
    <t xml:space="preserve"> PAGO INTERBANC COMPANIA HOTELE</t>
  </si>
  <si>
    <t xml:space="preserve"> PAGO INTERBANC XOXIAL BEACH CL</t>
  </si>
  <si>
    <t xml:space="preserve"> CUOTA PLAN CANAL NEGOCIOS</t>
  </si>
  <si>
    <t xml:space="preserve"> IVA CUOTA PLAN CANAL NEGOCIOS</t>
  </si>
  <si>
    <t xml:space="preserve"> PAGO QR RAQUEL NOHEMI</t>
  </si>
  <si>
    <t xml:space="preserve"> PAGO QR LUIS LEONARDO</t>
  </si>
  <si>
    <t xml:space="preserve"> PAGO QR LUIS FERNANDO</t>
  </si>
  <si>
    <t xml:space="preserve"> PAGO QR ROBINSON FERN</t>
  </si>
  <si>
    <t xml:space="preserve"> PAGO QR MAX ENRIQUE M</t>
  </si>
  <si>
    <t xml:space="preserve"> PAGO QR ELIAS ARTURO</t>
  </si>
  <si>
    <t xml:space="preserve"> PAGO QR LOURDES MARIA</t>
  </si>
  <si>
    <t xml:space="preserve"> PAGO DE PROV BV SAS</t>
  </si>
  <si>
    <t xml:space="preserve"> PAGO A PROVE VICENTE ARMANDO</t>
  </si>
  <si>
    <t xml:space="preserve"> SERVICIO POR PAGOS A NEQUI</t>
  </si>
  <si>
    <t xml:space="preserve"> CONSIGNACION CORRESPONSAL CB</t>
  </si>
  <si>
    <t xml:space="preserve"> PAGO QR YEISSON RIVER</t>
  </si>
  <si>
    <t xml:space="preserve"> PAGO LLAVE Claudia Pa</t>
  </si>
  <si>
    <t xml:space="preserve"> PAGO LLAVE KEVIN ANDR</t>
  </si>
  <si>
    <t xml:space="preserve"> PAGO LLAVE BRYAN ALFR</t>
  </si>
  <si>
    <t xml:space="preserve"> PAGO DE PROV INVIDA GROUP SA</t>
  </si>
  <si>
    <t>DEVOLVER A EDS PUERTO VELERO OK</t>
  </si>
  <si>
    <t xml:space="preserve"> PAGO A PROV NATALIA MONZON</t>
  </si>
  <si>
    <t xml:space="preserve"> PAGO AUTOM TC MASTER PESOS</t>
  </si>
  <si>
    <t xml:space="preserve"> PAGO INTERBANC INVERSIONES MAR</t>
  </si>
  <si>
    <t xml:space="preserve"> PAGO INTERBANC INVERSIONES BRC</t>
  </si>
  <si>
    <t xml:space="preserve"> PAGO INTERBANC AGRO-INVERSIONE</t>
  </si>
  <si>
    <t xml:space="preserve"> PAGO INTERBANC Shirley Patrici</t>
  </si>
  <si>
    <t xml:space="preserve"> PAGO INTERBANC INDUSTRIAS GAST</t>
  </si>
  <si>
    <t xml:space="preserve"> PAGO AUTOM TC MASTER DOLAR</t>
  </si>
  <si>
    <t xml:space="preserve"> PAGO QR MILDRET VAREL</t>
  </si>
  <si>
    <t xml:space="preserve"> PAGO LLAVE EVERLIDES</t>
  </si>
  <si>
    <t xml:space="preserve"> PAGO DE PROV MORATTO GROUP S</t>
  </si>
  <si>
    <t xml:space="preserve"> PAGO DE PROV GRUPO THE CARTE</t>
  </si>
  <si>
    <t xml:space="preserve"> PAGO DE PROV SERVICIOS ALIME</t>
  </si>
  <si>
    <t xml:space="preserve"> PAGO DE PROV HELADERIA AMERI</t>
  </si>
  <si>
    <t xml:space="preserve"> PAGO A PROVE RAMON RAFAEL CA</t>
  </si>
  <si>
    <t xml:space="preserve"> PAGO A PROVE Victor Manuel A</t>
  </si>
  <si>
    <t xml:space="preserve">  </t>
  </si>
  <si>
    <t xml:space="preserve"> PAGO DE PROV NADJAR GOMEZ SA</t>
  </si>
  <si>
    <t xml:space="preserve"> SERVICIO PAGO A OTROS BANCOS</t>
  </si>
  <si>
    <t xml:space="preserve"> PAGO A PROV Gabriel Enrique Hu</t>
  </si>
  <si>
    <t xml:space="preserve"> PAGO A PROV JEAN CARLOS RODRIG</t>
  </si>
  <si>
    <t xml:space="preserve"> PAGO A PROV TRADE  BUSINESS SA</t>
  </si>
  <si>
    <t xml:space="preserve"> PAGO A PROV Zhari Marcela fran</t>
  </si>
  <si>
    <t xml:space="preserve"> REINTEGRO PAGO Zhari Marcela f</t>
  </si>
  <si>
    <t xml:space="preserve"> PAGO INTERBANC JULIO HUMB DE C</t>
  </si>
  <si>
    <t xml:space="preserve"> PAGO INTERBANC GODHEART SAS</t>
  </si>
  <si>
    <t xml:space="preserve"> PAGO INTERBANC DGS SAS</t>
  </si>
  <si>
    <t xml:space="preserve"> PAGO QR MARIA ALEJAND</t>
  </si>
  <si>
    <t xml:space="preserve"> PAGO LLAVE Cindy Joha</t>
  </si>
  <si>
    <t xml:space="preserve"> COMISION PSE</t>
  </si>
  <si>
    <t xml:space="preserve"> IVA COMISION PSE</t>
  </si>
  <si>
    <t xml:space="preserve"> PAGO DE PROV INVERSIONES SAM</t>
  </si>
  <si>
    <t xml:space="preserve"> PAGO DE PROV FIT CHOICES COM</t>
  </si>
  <si>
    <t xml:space="preserve"> PAGO DE PROV INVER. PASILLA</t>
  </si>
  <si>
    <t xml:space="preserve"> PAGO DE PROV CHIKOS GOURMET</t>
  </si>
  <si>
    <t xml:space="preserve"> PAGO DE PROV PARRILLA LIBANE</t>
  </si>
  <si>
    <t xml:space="preserve"> PAGO A PROVE Taxxa SAS</t>
  </si>
  <si>
    <t xml:space="preserve"> PAGO A PROVE ROYMAN RONYS RO</t>
  </si>
  <si>
    <t xml:space="preserve"> PAGO A PROV Yelidsa Cuentas</t>
  </si>
  <si>
    <t xml:space="preserve"> PAGO A PROV Edgardo salzedo mo</t>
  </si>
  <si>
    <t xml:space="preserve"> PAGO LLAVE INGRID PAO</t>
  </si>
  <si>
    <t xml:space="preserve"> PAGO DE PROV INDUSTRIAS GAST</t>
  </si>
  <si>
    <t xml:space="preserve"> PAGO PSE RECORDAR PREVISION E</t>
  </si>
  <si>
    <t xml:space="preserve"> PAGO A PROVE ELSA MORENO DE</t>
  </si>
  <si>
    <t xml:space="preserve"> PAGO A PROVE GASCAL UNIFORME</t>
  </si>
  <si>
    <t xml:space="preserve"> PAGO A PROVE SABORES SAS</t>
  </si>
  <si>
    <t>DEVOLUCION A CLIENTE OK</t>
  </si>
  <si>
    <t xml:space="preserve"> PAGO A PROV CONSERVAS CALIFORN</t>
  </si>
  <si>
    <t xml:space="preserve"> PAGO INTERBANC SIGNATURE FOOD</t>
  </si>
  <si>
    <t xml:space="preserve"> PAGO LLAVE ROGER DE J</t>
  </si>
  <si>
    <t xml:space="preserve"> PAGO QR ELWIS ANDRES</t>
  </si>
  <si>
    <t xml:space="preserve"> PAGO QR NADIA BARROS</t>
  </si>
  <si>
    <t xml:space="preserve"> PAGO DE PROV OPERADORAS SAS</t>
  </si>
  <si>
    <t xml:space="preserve"> PAGO DE PROV MARINAS DE COLO</t>
  </si>
  <si>
    <t xml:space="preserve"> PAGO PSE APORTES EN LINEA</t>
  </si>
  <si>
    <t xml:space="preserve"> PAGO A PROVE CRISTIAN</t>
  </si>
  <si>
    <t xml:space="preserve"> PAGO A PROVE Carlos Eduardo</t>
  </si>
  <si>
    <t xml:space="preserve"> PAGO A PROVE TECNICOSTA INGE</t>
  </si>
  <si>
    <t xml:space="preserve"> PAGO INTERBANC Full Snacks S.A</t>
  </si>
  <si>
    <t xml:space="preserve"> PAGO INTERBANC INVERSORA MFDN</t>
  </si>
  <si>
    <t xml:space="preserve"> PAGO QR JEIMY PEREZ M</t>
  </si>
  <si>
    <t xml:space="preserve"> PAGO QR SERGIO ANDRES</t>
  </si>
  <si>
    <t xml:space="preserve"> PAGO QR JUAN JOSE RIA</t>
  </si>
  <si>
    <t xml:space="preserve"> PAGO QR JOSE MANUEL A</t>
  </si>
  <si>
    <t xml:space="preserve"> PAGO LLAVE KENDRY ROS</t>
  </si>
  <si>
    <t xml:space="preserve"> PAGO QR ANA MILENA VE</t>
  </si>
  <si>
    <t>ANTICIPO CASA DEL MARISCO CRUCE CON FE51630 OK</t>
  </si>
  <si>
    <t xml:space="preserve"> TRANSFERENCIA NEQUI BANCOLOMBI</t>
  </si>
  <si>
    <t xml:space="preserve"> PAGO INTERBANC VICTORS CASUAL</t>
  </si>
  <si>
    <t xml:space="preserve"> PAGO INTERBANC BANCO DAVIVIEND</t>
  </si>
  <si>
    <t xml:space="preserve"> PAGO QR AURORA DANIEL</t>
  </si>
  <si>
    <t xml:space="preserve"> PAGO LLAVE SAMUEL DAV</t>
  </si>
  <si>
    <t xml:space="preserve"> PAGO DE PROV CARNES SANTACRU</t>
  </si>
  <si>
    <t xml:space="preserve"> PAGO DE PROV VR LOGISTIC SER</t>
  </si>
  <si>
    <t xml:space="preserve"> COMPRA EN  EDS MURILL</t>
  </si>
  <si>
    <t xml:space="preserve"> COMPRA EN  TIENDAS AR</t>
  </si>
  <si>
    <t xml:space="preserve"> COMPRA EN  BOLD*Burge</t>
  </si>
  <si>
    <t xml:space="preserve"> PAGO PSE Mercadopago Colombia</t>
  </si>
  <si>
    <t xml:space="preserve"> PAGO A PROVE PLASTICOS FAYCO</t>
  </si>
  <si>
    <t xml:space="preserve"> PAGO A PROVE MATERIALES E IN</t>
  </si>
  <si>
    <t xml:space="preserve"> PAGO DE PROV CHUZITOS ALAMED</t>
  </si>
  <si>
    <t xml:space="preserve"> PAGO DE PROV GRUPO LEVAIN SA</t>
  </si>
  <si>
    <t xml:space="preserve"> PAGO PROSEGUR ALARMAS</t>
  </si>
  <si>
    <t xml:space="preserve"> PAGO INTERBANC CASINO LA MISER</t>
  </si>
  <si>
    <t xml:space="preserve"> COMPRA EN  MAKRO PRAD</t>
  </si>
  <si>
    <t xml:space="preserve"> COMPRA EN  ESTACION D</t>
  </si>
  <si>
    <t xml:space="preserve"> PAGO PSE DLOCAL COLOMBIA SAS</t>
  </si>
  <si>
    <t>ANTICIPO LA MARINA</t>
  </si>
  <si>
    <t xml:space="preserve"> CONSIG LOCAL CAJ</t>
  </si>
  <si>
    <t xml:space="preserve"> PAGO INTERBANC INVERSIONES GOG</t>
  </si>
  <si>
    <t xml:space="preserve"> PAGO INTERBANC FLOR MARIELA GA</t>
  </si>
  <si>
    <t xml:space="preserve"> PAGO LLAVE SANDRA PAO</t>
  </si>
  <si>
    <t xml:space="preserve"> PAGO QR JONATHAN ORTA</t>
  </si>
  <si>
    <t xml:space="preserve"> PAGO LLAVE ARMANDO RA</t>
  </si>
  <si>
    <t xml:space="preserve"> PAGO LLAVE ALBERTO MA</t>
  </si>
  <si>
    <t xml:space="preserve"> PAGO PSE IMPUESTO DIAN</t>
  </si>
  <si>
    <t xml:space="preserve"> PAGO PSE Ebanx Colombia SAS</t>
  </si>
  <si>
    <t xml:space="preserve"> PAGO A PROVE GRUPO GS SERVIC</t>
  </si>
  <si>
    <t xml:space="preserve"> PAGO A PROVE ALIANZA LOGISTI</t>
  </si>
  <si>
    <t xml:space="preserve"> PAGO DE PROV HOTELES DE VILL</t>
  </si>
  <si>
    <t xml:space="preserve"> PAGO QR GLENIS CANDEL</t>
  </si>
  <si>
    <t xml:space="preserve"> PAGO QR NORIS ESTHER</t>
  </si>
  <si>
    <t xml:space="preserve"> PAGO DE PROV CCA ALIANZA FID</t>
  </si>
  <si>
    <t>ANTICIPO NORYS ZARANTE</t>
  </si>
  <si>
    <t xml:space="preserve"> PAGO INTERBANC CLINICA SANTA A</t>
  </si>
  <si>
    <t xml:space="preserve"> PAGO INTERBANC CAJA DE COMPENS</t>
  </si>
  <si>
    <t xml:space="preserve"> PAGO LLAVE DANIELA PA</t>
  </si>
  <si>
    <t xml:space="preserve"> Pago cuota operacion Leasing:</t>
  </si>
  <si>
    <t xml:space="preserve"> PAGO PSE Fiduciaria La Previs</t>
  </si>
  <si>
    <t xml:space="preserve"> PAGO QR MARCELA ROSA</t>
  </si>
  <si>
    <t xml:space="preserve"> PAGO QR RAVAL NEGOCIO</t>
  </si>
  <si>
    <t xml:space="preserve"> PAGO QR CLARA LAMUS B</t>
  </si>
  <si>
    <t xml:space="preserve"> PAGO QR ANGEL SOCORRO</t>
  </si>
  <si>
    <t xml:space="preserve"> COMPRA EN  EDS BOSTON</t>
  </si>
  <si>
    <t xml:space="preserve"> COMPRA EN  DISTRIBUCI</t>
  </si>
  <si>
    <t xml:space="preserve"> PAGO INTERBANC FADE       FARE</t>
  </si>
  <si>
    <t xml:space="preserve"> PAGO LLAVE MELISSA MA</t>
  </si>
  <si>
    <t xml:space="preserve"> COMPRA EN  EASY ALTOS</t>
  </si>
  <si>
    <t xml:space="preserve"> COMPRA EN  TIRE CENTE</t>
  </si>
  <si>
    <t xml:space="preserve"> COMPRA EN  DOLLARCITY</t>
  </si>
  <si>
    <t xml:space="preserve"> PAGO PSE Makro Supermayorista</t>
  </si>
  <si>
    <t xml:space="preserve"> PAGO PSE FIDUCIARIA BANCOLOMB</t>
  </si>
  <si>
    <t xml:space="preserve"> PAGO PSE Gases del Caribe SA</t>
  </si>
  <si>
    <t xml:space="preserve"> PAGO LLAVE VANESA CAB</t>
  </si>
  <si>
    <t xml:space="preserve"> PAGO QR IVAN JOSE BAL</t>
  </si>
  <si>
    <t xml:space="preserve"> PAGO A PROVE MARCELINA ISABE</t>
  </si>
  <si>
    <t xml:space="preserve"> PAGO A PROVE MONTACARGAS GOM</t>
  </si>
  <si>
    <t xml:space="preserve"> PAGO INTERBANC TROPICAL FREEZE</t>
  </si>
  <si>
    <t xml:space="preserve"> PAGO INTERBANC MFT SKAF GROUP</t>
  </si>
  <si>
    <t xml:space="preserve"> PAGO QR YAIR JOSE MEZ</t>
  </si>
  <si>
    <t xml:space="preserve"> PAGO VIRTUAL PSE</t>
  </si>
  <si>
    <t>DEVOLUCION A HIJOLEX PORQUE SE EQUIVOCO</t>
  </si>
  <si>
    <t>ANTICIPO SALMA HERAZO</t>
  </si>
  <si>
    <t xml:space="preserve"> PAGO INTERBANC ANDREA YAN PERE</t>
  </si>
  <si>
    <t xml:space="preserve"> PAGO INTERBANC ATOALIMENTOS SA</t>
  </si>
  <si>
    <t xml:space="preserve"> PAGO INTERBANC COMERCIAL AVANA</t>
  </si>
  <si>
    <t xml:space="preserve"> PAGO QR RUBEN ANTONIO</t>
  </si>
  <si>
    <t xml:space="preserve"> PAGO QR DANILO SIERRA</t>
  </si>
  <si>
    <t xml:space="preserve"> PAGO QR CARLOS ENRIQU</t>
  </si>
  <si>
    <t xml:space="preserve"> PAGO QR BAYRON GIRESD</t>
  </si>
  <si>
    <t xml:space="preserve"> PAGO DE PROV INVERSIONES HER</t>
  </si>
  <si>
    <t xml:space="preserve"> PAGO DE PROV INVERSIONES BEL</t>
  </si>
  <si>
    <t xml:space="preserve"> COMPRA EN  HOMECENTER</t>
  </si>
  <si>
    <t xml:space="preserve"> PAGO A PROVE BRAYAN ENRIQUE</t>
  </si>
  <si>
    <t xml:space="preserve"> PAGO A PROV JAIRO ISAMBERTO GO</t>
  </si>
  <si>
    <t xml:space="preserve"> PAGO QR DANILO ARIAS</t>
  </si>
  <si>
    <t xml:space="preserve"> COMPRA EN  EDS BARRAN</t>
  </si>
  <si>
    <t xml:space="preserve"> COMPRA EN  RECORTES Y</t>
  </si>
  <si>
    <t xml:space="preserve"> PAGO A PROVE ANGELA MARIA TO</t>
  </si>
  <si>
    <t xml:space="preserve"> PAGO A PROVE ERIKA MARIA PER</t>
  </si>
  <si>
    <t>ANTICIPO BIG BITES CRUCE ABONO FE52065-OK</t>
  </si>
  <si>
    <t xml:space="preserve"> PAGO SUC VIRT TC MASTER DOLAR</t>
  </si>
  <si>
    <t xml:space="preserve"> PAGO QR KEVIN STICK A</t>
  </si>
  <si>
    <t xml:space="preserve"> PAGO LLAVE Cindy Johanna Guaca</t>
  </si>
  <si>
    <t xml:space="preserve"> PAGO INTERBANC SABORES GLOBALE</t>
  </si>
  <si>
    <t xml:space="preserve"> PAGO INTERBANC Restobar Casa D</t>
  </si>
  <si>
    <t xml:space="preserve"> PAGO LLAVE MAX ENRIQU</t>
  </si>
  <si>
    <t xml:space="preserve"> PAGO A PROVE GMP PRODUCTOS Q</t>
  </si>
  <si>
    <t>ANTICIPIO BIG BITES</t>
  </si>
  <si>
    <t>ANTICIPO DE FON CRUCE FE OK</t>
  </si>
  <si>
    <t xml:space="preserve"> PAGO PSE UNE - EPM Telecomuni</t>
  </si>
  <si>
    <t xml:space="preserve"> PAGO PSE FIDEICOMISOS SOCIEDA</t>
  </si>
  <si>
    <t xml:space="preserve"> PAGO PSE WOMPI S.A.S</t>
  </si>
  <si>
    <t xml:space="preserve"> PAGO A PROVE COCOS MARTH SAS</t>
  </si>
  <si>
    <t xml:space="preserve"> PAGO A PROVE HOME OFFICE SAS</t>
  </si>
  <si>
    <t xml:space="preserve"> PAGO A PROVE ETIQUETAS DE CO</t>
  </si>
  <si>
    <t xml:space="preserve"> PAGO LLAVE ERIKA MARI</t>
  </si>
  <si>
    <t xml:space="preserve"> PAGO QR JOVANIS ENRIQ</t>
  </si>
  <si>
    <t xml:space="preserve"> PAGO A PROVE Alexandra Iba e</t>
  </si>
  <si>
    <t xml:space="preserve"> PAGO INTERBANC Raval negocios</t>
  </si>
  <si>
    <t xml:space="preserve"> PAGO QR ZENITH ROSADO</t>
  </si>
  <si>
    <t xml:space="preserve"> PAGO QR GERARDO RUEDA</t>
  </si>
  <si>
    <t xml:space="preserve"> PAGO LLAVE YOISBEL CA</t>
  </si>
  <si>
    <t xml:space="preserve"> PAGO QR NYDIA SABOGAL</t>
  </si>
  <si>
    <t xml:space="preserve"> PAGO DE PROV INV DIAZ G</t>
  </si>
  <si>
    <t xml:space="preserve"> PAGO DE PROV FUNDACION BOTAN</t>
  </si>
  <si>
    <t>ANTICIPO INV. DIAZGRANADOS</t>
  </si>
  <si>
    <t>ANTICIPO NOVA MARKET- CRUCE SALDO FE51884-FE52741</t>
  </si>
  <si>
    <t>ANTICIPO BAMBU- CRUCE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</si>
</sst>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&quot;$&quot;\ #,##0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2C2A29"/>
      <name val="CIB Sans Ligh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44" fontId="0" fillId="0" borderId="0" xfId="1" applyFont="1"/>
    <xf numFmtId="44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  <xf numFmtId="0" fontId="0" fillId="3" borderId="0" xfId="0" applyFill="1"/>
    <xf numFmtId="0" fontId="3" fillId="0" borderId="0" xfId="0" applyFont="1"/>
    <xf numFmtId="0" fontId="0" fillId="4" borderId="0" xfId="0" applyFill="1"/>
    <xf numFmtId="164" fontId="0" fillId="4" borderId="0" xfId="1" applyNumberFormat="1" applyFont="1" applyFill="1"/>
    <xf numFmtId="165" fontId="0" fillId="0" borderId="0" xfId="0" applyNumberFormat="1"/>
    <xf numFmtId="0" fontId="4" fillId="4" borderId="0" xfId="0" applyFont="1" applyFill="1"/>
    <xf numFmtId="0" fontId="5" fillId="4" borderId="0" xfId="0" applyFont="1" applyFill="1"/>
    <xf numFmtId="3" fontId="2" fillId="0" borderId="0" xfId="0" applyNumberFormat="1" applyFont="1" applyAlignment="1">
      <alignment vertical="center" wrapText="1"/>
    </xf>
    <xf numFmtId="0" fontId="6" fillId="0" borderId="0" xfId="0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4617-D43D-431B-86BE-786ED3BCBD47}">
  <dimension ref="A1:O876"/>
  <sheetViews>
    <sheetView tabSelected="1" zoomScale="121" zoomScaleNormal="100" workbookViewId="0">
      <selection activeCell="F1" sqref="F1"/>
    </sheetView>
  </sheetViews>
  <sheetFormatPr baseColWidth="10" defaultRowHeight="15"/>
  <cols>
    <col min="4" max="4" width="33.42578125" bestFit="1" customWidth="1"/>
    <col min="6" max="6" width="13.7109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s="15">
        <v>432751473</v>
      </c>
      <c r="G1" s="1" t="s">
        <v>5</v>
      </c>
      <c r="H1" s="1"/>
      <c r="I1" s="1" t="s">
        <v>6</v>
      </c>
      <c r="J1" s="1">
        <v>0</v>
      </c>
      <c r="K1" s="1" t="s">
        <v>7</v>
      </c>
      <c r="L1" s="2" t="e">
        <f>+F1+H1+#REF!+J1</f>
        <v>#REF!</v>
      </c>
      <c r="N1" s="3"/>
      <c r="O1" s="4"/>
    </row>
    <row r="2" spans="1:15">
      <c r="A2" s="6">
        <v>46142</v>
      </c>
      <c r="B2" s="7"/>
      <c r="C2" s="7">
        <v>2999</v>
      </c>
      <c r="D2" s="7" t="s">
        <v>13</v>
      </c>
      <c r="E2" s="7">
        <v>2356.5300000000002</v>
      </c>
    </row>
    <row r="3" spans="1:15">
      <c r="A3" s="5">
        <v>46142</v>
      </c>
      <c r="C3">
        <v>2142</v>
      </c>
      <c r="D3" t="s">
        <v>64</v>
      </c>
      <c r="E3" s="8">
        <v>1053592</v>
      </c>
    </row>
    <row r="4" spans="1:15">
      <c r="A4" s="5">
        <v>46142</v>
      </c>
      <c r="C4">
        <v>2142</v>
      </c>
      <c r="D4" t="s">
        <v>42</v>
      </c>
      <c r="E4" s="8">
        <v>129958</v>
      </c>
    </row>
    <row r="5" spans="1:15">
      <c r="A5" s="5">
        <v>46142</v>
      </c>
      <c r="C5">
        <v>2142</v>
      </c>
      <c r="D5" t="s">
        <v>86</v>
      </c>
      <c r="E5" s="8">
        <v>301203</v>
      </c>
    </row>
    <row r="6" spans="1:15">
      <c r="A6" s="5">
        <v>46142</v>
      </c>
      <c r="C6">
        <v>2142</v>
      </c>
      <c r="D6" t="s">
        <v>207</v>
      </c>
      <c r="E6" s="8">
        <v>496664</v>
      </c>
    </row>
    <row r="7" spans="1:15">
      <c r="A7" s="5">
        <v>46142</v>
      </c>
      <c r="C7">
        <v>4027</v>
      </c>
      <c r="D7" t="s">
        <v>208</v>
      </c>
      <c r="E7" s="8">
        <v>8506</v>
      </c>
    </row>
    <row r="8" spans="1:15">
      <c r="A8" s="5">
        <v>46142</v>
      </c>
      <c r="C8">
        <v>4027</v>
      </c>
      <c r="D8" t="s">
        <v>209</v>
      </c>
      <c r="E8" s="8">
        <v>665163</v>
      </c>
    </row>
    <row r="9" spans="1:15">
      <c r="A9" s="5">
        <v>46142</v>
      </c>
      <c r="C9">
        <v>4065</v>
      </c>
      <c r="D9" t="s">
        <v>132</v>
      </c>
      <c r="E9" s="8">
        <v>130970</v>
      </c>
    </row>
    <row r="10" spans="1:15">
      <c r="A10" s="5">
        <v>46142</v>
      </c>
      <c r="C10">
        <v>4065</v>
      </c>
      <c r="D10" t="s">
        <v>210</v>
      </c>
      <c r="E10" s="8">
        <v>44260</v>
      </c>
    </row>
    <row r="11" spans="1:15">
      <c r="A11" s="5">
        <v>46142</v>
      </c>
      <c r="C11">
        <v>4065</v>
      </c>
      <c r="D11" t="s">
        <v>211</v>
      </c>
      <c r="E11" s="8">
        <v>372600</v>
      </c>
    </row>
    <row r="12" spans="1:15">
      <c r="A12" s="5">
        <v>46142</v>
      </c>
      <c r="C12">
        <v>4065</v>
      </c>
      <c r="D12" t="s">
        <v>27</v>
      </c>
      <c r="E12" s="8">
        <v>146365</v>
      </c>
    </row>
    <row r="13" spans="1:15">
      <c r="A13" s="5">
        <v>46142</v>
      </c>
      <c r="C13">
        <v>4160</v>
      </c>
      <c r="D13" t="s">
        <v>8</v>
      </c>
      <c r="E13" s="8">
        <v>243675</v>
      </c>
    </row>
    <row r="14" spans="1:15">
      <c r="A14" s="5">
        <v>46142</v>
      </c>
      <c r="C14">
        <v>4160</v>
      </c>
      <c r="D14" t="s">
        <v>8</v>
      </c>
      <c r="E14" s="8">
        <v>122201</v>
      </c>
    </row>
    <row r="15" spans="1:15">
      <c r="A15" s="5">
        <v>46142</v>
      </c>
      <c r="C15">
        <v>4160</v>
      </c>
      <c r="D15" t="s">
        <v>8</v>
      </c>
      <c r="E15" s="8">
        <v>305855</v>
      </c>
    </row>
    <row r="16" spans="1:15">
      <c r="A16" s="5">
        <v>46142</v>
      </c>
      <c r="C16">
        <v>4160</v>
      </c>
      <c r="D16" t="s">
        <v>8</v>
      </c>
      <c r="E16" s="8">
        <v>168064</v>
      </c>
    </row>
    <row r="17" spans="1:9">
      <c r="A17" s="5">
        <v>46142</v>
      </c>
      <c r="C17">
        <v>4160</v>
      </c>
      <c r="D17" t="s">
        <v>8</v>
      </c>
      <c r="E17" s="8">
        <v>119388</v>
      </c>
    </row>
    <row r="18" spans="1:9">
      <c r="A18" s="5">
        <v>46142</v>
      </c>
      <c r="C18">
        <v>4160</v>
      </c>
      <c r="D18" t="s">
        <v>8</v>
      </c>
      <c r="E18" s="8">
        <v>192587</v>
      </c>
    </row>
    <row r="19" spans="1:9">
      <c r="A19" s="5">
        <v>46142</v>
      </c>
      <c r="C19">
        <v>4160</v>
      </c>
      <c r="D19" t="s">
        <v>8</v>
      </c>
      <c r="E19" s="8">
        <v>474838</v>
      </c>
    </row>
    <row r="20" spans="1:9">
      <c r="A20" s="5">
        <v>46142</v>
      </c>
      <c r="C20">
        <v>4160</v>
      </c>
      <c r="D20" t="s">
        <v>8</v>
      </c>
      <c r="E20" s="8">
        <v>277160</v>
      </c>
    </row>
    <row r="21" spans="1:9">
      <c r="A21" s="5">
        <v>46142</v>
      </c>
      <c r="C21">
        <v>4160</v>
      </c>
      <c r="D21" t="s">
        <v>8</v>
      </c>
      <c r="E21" s="8">
        <v>214473</v>
      </c>
    </row>
    <row r="22" spans="1:9">
      <c r="A22" s="5">
        <v>46142</v>
      </c>
      <c r="C22">
        <v>4160</v>
      </c>
      <c r="D22" t="s">
        <v>8</v>
      </c>
      <c r="E22" s="8">
        <v>860093</v>
      </c>
    </row>
    <row r="23" spans="1:9">
      <c r="A23" s="5">
        <v>46142</v>
      </c>
      <c r="C23">
        <v>4160</v>
      </c>
      <c r="D23" t="s">
        <v>8</v>
      </c>
      <c r="E23" s="8">
        <v>336060</v>
      </c>
    </row>
    <row r="24" spans="1:9">
      <c r="A24" s="5">
        <v>46142</v>
      </c>
      <c r="C24">
        <v>4160</v>
      </c>
      <c r="D24" t="s">
        <v>8</v>
      </c>
      <c r="E24" s="8">
        <v>86521</v>
      </c>
    </row>
    <row r="25" spans="1:9">
      <c r="A25" s="5">
        <v>46142</v>
      </c>
      <c r="C25">
        <v>4160</v>
      </c>
      <c r="D25" t="s">
        <v>8</v>
      </c>
      <c r="E25" s="8">
        <v>1649463</v>
      </c>
    </row>
    <row r="26" spans="1:9">
      <c r="A26" s="5">
        <v>46142</v>
      </c>
      <c r="C26">
        <v>4160</v>
      </c>
      <c r="D26" t="s">
        <v>8</v>
      </c>
      <c r="E26" s="8">
        <v>96800</v>
      </c>
    </row>
    <row r="27" spans="1:9">
      <c r="A27" s="5">
        <v>46142</v>
      </c>
      <c r="C27">
        <v>4160</v>
      </c>
      <c r="D27" t="s">
        <v>8</v>
      </c>
      <c r="E27" s="8">
        <v>169570</v>
      </c>
    </row>
    <row r="28" spans="1:9">
      <c r="A28" s="5">
        <v>46142</v>
      </c>
      <c r="C28">
        <v>4160</v>
      </c>
      <c r="D28" t="s">
        <v>8</v>
      </c>
      <c r="E28" s="8">
        <v>119388</v>
      </c>
    </row>
    <row r="29" spans="1:9">
      <c r="A29" s="5">
        <v>46142</v>
      </c>
      <c r="C29">
        <v>5376</v>
      </c>
      <c r="D29" t="s">
        <v>140</v>
      </c>
      <c r="E29" s="8">
        <v>3459277</v>
      </c>
    </row>
    <row r="30" spans="1:9">
      <c r="A30" s="5">
        <v>46142</v>
      </c>
      <c r="C30">
        <v>5376</v>
      </c>
      <c r="D30" t="s">
        <v>212</v>
      </c>
      <c r="E30" s="8">
        <v>1484383</v>
      </c>
      <c r="F30" s="11">
        <v>30065</v>
      </c>
      <c r="G30" s="10" t="s">
        <v>214</v>
      </c>
      <c r="H30" s="10"/>
      <c r="I30" s="10"/>
    </row>
    <row r="31" spans="1:9">
      <c r="A31" s="5">
        <v>46142</v>
      </c>
      <c r="C31">
        <v>5376</v>
      </c>
      <c r="D31" t="s">
        <v>213</v>
      </c>
      <c r="E31" s="8">
        <v>343376</v>
      </c>
    </row>
    <row r="32" spans="1:9">
      <c r="A32" s="5">
        <v>46142</v>
      </c>
      <c r="C32">
        <v>5376</v>
      </c>
      <c r="D32" t="s">
        <v>70</v>
      </c>
      <c r="E32" s="8">
        <v>530591</v>
      </c>
    </row>
    <row r="33" spans="1:5">
      <c r="A33" s="5">
        <v>46142</v>
      </c>
      <c r="C33">
        <v>9124</v>
      </c>
      <c r="D33" t="s">
        <v>12</v>
      </c>
      <c r="E33" s="8">
        <v>377300</v>
      </c>
    </row>
    <row r="34" spans="1:5">
      <c r="A34" s="5">
        <v>46142</v>
      </c>
      <c r="C34">
        <v>9124</v>
      </c>
      <c r="D34" t="s">
        <v>12</v>
      </c>
      <c r="E34" s="8">
        <v>182790</v>
      </c>
    </row>
    <row r="35" spans="1:5">
      <c r="A35" s="5">
        <v>46142</v>
      </c>
      <c r="C35">
        <v>9124</v>
      </c>
      <c r="D35" t="s">
        <v>12</v>
      </c>
      <c r="E35" s="8">
        <v>317913</v>
      </c>
    </row>
    <row r="36" spans="1:5">
      <c r="A36" s="5">
        <v>46142</v>
      </c>
      <c r="C36">
        <v>9124</v>
      </c>
      <c r="D36" t="s">
        <v>12</v>
      </c>
      <c r="E36" s="8">
        <v>169570</v>
      </c>
    </row>
    <row r="37" spans="1:5">
      <c r="A37" s="5">
        <v>46142</v>
      </c>
      <c r="C37">
        <v>9124</v>
      </c>
      <c r="D37" t="s">
        <v>12</v>
      </c>
      <c r="E37" s="8">
        <v>364200</v>
      </c>
    </row>
    <row r="38" spans="1:5">
      <c r="A38" s="5">
        <v>46142</v>
      </c>
      <c r="C38">
        <v>9124</v>
      </c>
      <c r="D38" t="s">
        <v>12</v>
      </c>
      <c r="E38" s="8">
        <v>197300</v>
      </c>
    </row>
    <row r="39" spans="1:5">
      <c r="A39" s="6">
        <v>46141</v>
      </c>
      <c r="B39" s="7"/>
      <c r="C39" s="7">
        <v>2999</v>
      </c>
      <c r="D39" s="7" t="s">
        <v>13</v>
      </c>
      <c r="E39" s="7">
        <v>2267.6799999999998</v>
      </c>
    </row>
    <row r="40" spans="1:5">
      <c r="A40" s="5">
        <v>46141</v>
      </c>
      <c r="C40">
        <v>1160</v>
      </c>
      <c r="D40" t="s">
        <v>57</v>
      </c>
      <c r="E40">
        <v>-250000</v>
      </c>
    </row>
    <row r="41" spans="1:5">
      <c r="A41" s="5">
        <v>46141</v>
      </c>
      <c r="C41">
        <v>1160</v>
      </c>
      <c r="D41" t="s">
        <v>38</v>
      </c>
      <c r="E41">
        <v>-910800</v>
      </c>
    </row>
    <row r="42" spans="1:5">
      <c r="A42" s="5">
        <v>46141</v>
      </c>
      <c r="C42">
        <v>1160</v>
      </c>
      <c r="D42" t="s">
        <v>58</v>
      </c>
      <c r="E42">
        <v>-920000</v>
      </c>
    </row>
    <row r="43" spans="1:5">
      <c r="A43" s="5">
        <v>46141</v>
      </c>
      <c r="C43">
        <v>1233</v>
      </c>
      <c r="D43" t="s">
        <v>14</v>
      </c>
      <c r="E43">
        <v>-379050</v>
      </c>
    </row>
    <row r="44" spans="1:5">
      <c r="A44" s="5">
        <v>46141</v>
      </c>
      <c r="C44">
        <v>1371</v>
      </c>
      <c r="D44" t="s">
        <v>15</v>
      </c>
      <c r="E44">
        <v>-7980</v>
      </c>
    </row>
    <row r="45" spans="1:5">
      <c r="A45" s="5">
        <v>46141</v>
      </c>
      <c r="C45">
        <v>2142</v>
      </c>
      <c r="D45" t="s">
        <v>107</v>
      </c>
      <c r="E45" s="8">
        <v>88700</v>
      </c>
    </row>
    <row r="46" spans="1:5">
      <c r="A46" s="5">
        <v>46141</v>
      </c>
      <c r="C46">
        <v>2142</v>
      </c>
      <c r="D46" t="s">
        <v>96</v>
      </c>
      <c r="E46" s="8">
        <v>646957</v>
      </c>
    </row>
    <row r="47" spans="1:5">
      <c r="A47" s="5">
        <v>46141</v>
      </c>
      <c r="C47">
        <v>2142</v>
      </c>
      <c r="D47" t="s">
        <v>106</v>
      </c>
      <c r="E47" s="8">
        <v>850000</v>
      </c>
    </row>
    <row r="48" spans="1:5">
      <c r="A48" s="5">
        <v>46141</v>
      </c>
      <c r="C48">
        <v>3339</v>
      </c>
      <c r="D48" t="s">
        <v>9</v>
      </c>
      <c r="E48">
        <v>-2028691</v>
      </c>
    </row>
    <row r="49" spans="1:5">
      <c r="A49" s="5">
        <v>46141</v>
      </c>
      <c r="C49">
        <v>4065</v>
      </c>
      <c r="D49" t="s">
        <v>204</v>
      </c>
      <c r="E49" s="8">
        <v>117634</v>
      </c>
    </row>
    <row r="50" spans="1:5">
      <c r="A50" s="5">
        <v>46141</v>
      </c>
      <c r="C50">
        <v>4065</v>
      </c>
      <c r="D50" t="s">
        <v>205</v>
      </c>
      <c r="E50" s="8">
        <v>55600</v>
      </c>
    </row>
    <row r="51" spans="1:5">
      <c r="A51" s="5">
        <v>46141</v>
      </c>
      <c r="C51">
        <v>4160</v>
      </c>
      <c r="D51" t="s">
        <v>8</v>
      </c>
      <c r="E51" s="8">
        <v>88922</v>
      </c>
    </row>
    <row r="52" spans="1:5">
      <c r="A52" s="5">
        <v>46141</v>
      </c>
      <c r="C52">
        <v>4160</v>
      </c>
      <c r="D52" t="s">
        <v>8</v>
      </c>
      <c r="E52" s="8">
        <v>446506</v>
      </c>
    </row>
    <row r="53" spans="1:5">
      <c r="A53" s="5">
        <v>46141</v>
      </c>
      <c r="C53">
        <v>4160</v>
      </c>
      <c r="D53" t="s">
        <v>8</v>
      </c>
      <c r="E53" s="8">
        <v>164096</v>
      </c>
    </row>
    <row r="54" spans="1:5">
      <c r="A54" s="5">
        <v>46141</v>
      </c>
      <c r="C54">
        <v>4160</v>
      </c>
      <c r="D54" t="s">
        <v>8</v>
      </c>
      <c r="E54" s="8">
        <v>61590</v>
      </c>
    </row>
    <row r="55" spans="1:5">
      <c r="A55" s="5">
        <v>46141</v>
      </c>
      <c r="C55">
        <v>4160</v>
      </c>
      <c r="D55" t="s">
        <v>8</v>
      </c>
      <c r="E55" s="8">
        <v>172903</v>
      </c>
    </row>
    <row r="56" spans="1:5">
      <c r="A56" s="5">
        <v>46141</v>
      </c>
      <c r="C56">
        <v>4160</v>
      </c>
      <c r="D56" t="s">
        <v>8</v>
      </c>
      <c r="E56" s="8">
        <v>261210</v>
      </c>
    </row>
    <row r="57" spans="1:5">
      <c r="A57" s="5">
        <v>46141</v>
      </c>
      <c r="C57">
        <v>5380</v>
      </c>
      <c r="D57" t="s">
        <v>113</v>
      </c>
      <c r="E57">
        <v>-502800</v>
      </c>
    </row>
    <row r="58" spans="1:5">
      <c r="A58" s="5">
        <v>46141</v>
      </c>
      <c r="C58">
        <v>5380</v>
      </c>
      <c r="D58" t="s">
        <v>184</v>
      </c>
      <c r="E58">
        <v>-197100</v>
      </c>
    </row>
    <row r="59" spans="1:5">
      <c r="A59" s="5">
        <v>46141</v>
      </c>
      <c r="C59">
        <v>8162</v>
      </c>
      <c r="D59" t="s">
        <v>206</v>
      </c>
      <c r="E59">
        <v>-312037</v>
      </c>
    </row>
    <row r="60" spans="1:5">
      <c r="A60" s="5">
        <v>46141</v>
      </c>
      <c r="C60">
        <v>8162</v>
      </c>
      <c r="D60" t="s">
        <v>81</v>
      </c>
      <c r="E60">
        <v>-1955250</v>
      </c>
    </row>
    <row r="61" spans="1:5">
      <c r="A61" s="5">
        <v>46141</v>
      </c>
      <c r="C61">
        <v>9124</v>
      </c>
      <c r="D61" t="s">
        <v>12</v>
      </c>
      <c r="E61" s="8">
        <v>155512</v>
      </c>
    </row>
    <row r="62" spans="1:5">
      <c r="A62" s="5">
        <v>46141</v>
      </c>
      <c r="C62">
        <v>9124</v>
      </c>
      <c r="D62" t="s">
        <v>12</v>
      </c>
      <c r="E62" s="8">
        <v>136711</v>
      </c>
    </row>
    <row r="63" spans="1:5">
      <c r="A63" s="5">
        <v>46141</v>
      </c>
      <c r="C63">
        <v>9954</v>
      </c>
      <c r="D63" t="s">
        <v>30</v>
      </c>
      <c r="E63">
        <v>-11970</v>
      </c>
    </row>
    <row r="64" spans="1:5">
      <c r="A64" s="6">
        <v>46140</v>
      </c>
      <c r="B64" s="7"/>
      <c r="C64" s="7">
        <v>2999</v>
      </c>
      <c r="D64" s="7" t="s">
        <v>13</v>
      </c>
      <c r="E64" s="7">
        <v>2277.7800000000002</v>
      </c>
    </row>
    <row r="65" spans="1:8">
      <c r="A65" s="5">
        <v>46140</v>
      </c>
      <c r="C65">
        <v>1160</v>
      </c>
      <c r="D65" t="s">
        <v>76</v>
      </c>
      <c r="E65">
        <v>-1722600</v>
      </c>
    </row>
    <row r="66" spans="1:8">
      <c r="A66" s="5">
        <v>46140</v>
      </c>
      <c r="C66">
        <v>1233</v>
      </c>
      <c r="D66" t="s">
        <v>14</v>
      </c>
      <c r="E66">
        <v>-151620</v>
      </c>
    </row>
    <row r="67" spans="1:8">
      <c r="A67" s="5">
        <v>46140</v>
      </c>
      <c r="C67">
        <v>1233</v>
      </c>
      <c r="D67" t="s">
        <v>14</v>
      </c>
      <c r="E67">
        <v>-303240</v>
      </c>
    </row>
    <row r="68" spans="1:8">
      <c r="A68" s="5">
        <v>46140</v>
      </c>
      <c r="C68">
        <v>1371</v>
      </c>
      <c r="D68" t="s">
        <v>15</v>
      </c>
      <c r="E68">
        <v>-11970</v>
      </c>
    </row>
    <row r="69" spans="1:8">
      <c r="A69" s="5">
        <v>46140</v>
      </c>
      <c r="C69">
        <v>1371</v>
      </c>
      <c r="D69" t="s">
        <v>15</v>
      </c>
      <c r="E69">
        <v>-7980</v>
      </c>
    </row>
    <row r="70" spans="1:8">
      <c r="A70" s="5">
        <v>46140</v>
      </c>
      <c r="C70">
        <v>3339</v>
      </c>
      <c r="D70" t="s">
        <v>9</v>
      </c>
      <c r="E70">
        <v>-65445.64</v>
      </c>
    </row>
    <row r="71" spans="1:8">
      <c r="A71" s="5">
        <v>46140</v>
      </c>
      <c r="C71">
        <v>4027</v>
      </c>
      <c r="D71" t="s">
        <v>65</v>
      </c>
      <c r="E71" s="8">
        <v>137307</v>
      </c>
    </row>
    <row r="72" spans="1:8">
      <c r="A72" s="5">
        <v>46140</v>
      </c>
      <c r="C72">
        <v>4160</v>
      </c>
      <c r="D72" t="s">
        <v>8</v>
      </c>
      <c r="E72" s="8">
        <v>73391</v>
      </c>
    </row>
    <row r="73" spans="1:8">
      <c r="A73" s="5">
        <v>46140</v>
      </c>
      <c r="C73">
        <v>4160</v>
      </c>
      <c r="D73" t="s">
        <v>8</v>
      </c>
      <c r="E73" s="8">
        <v>191770</v>
      </c>
    </row>
    <row r="74" spans="1:8">
      <c r="A74" s="5">
        <v>46140</v>
      </c>
      <c r="C74">
        <v>4160</v>
      </c>
      <c r="D74" t="s">
        <v>8</v>
      </c>
      <c r="E74" s="8">
        <v>558935</v>
      </c>
    </row>
    <row r="75" spans="1:8">
      <c r="A75" s="5">
        <v>46140</v>
      </c>
      <c r="C75">
        <v>4160</v>
      </c>
      <c r="D75" t="s">
        <v>8</v>
      </c>
      <c r="E75" s="10">
        <v>312037</v>
      </c>
      <c r="F75" s="10" t="s">
        <v>84</v>
      </c>
      <c r="G75" s="10"/>
      <c r="H75" s="10"/>
    </row>
    <row r="76" spans="1:8">
      <c r="A76" s="5">
        <v>46140</v>
      </c>
      <c r="C76">
        <v>4160</v>
      </c>
      <c r="D76" t="s">
        <v>8</v>
      </c>
      <c r="E76" s="8">
        <v>192955</v>
      </c>
    </row>
    <row r="77" spans="1:8">
      <c r="A77" s="5">
        <v>46140</v>
      </c>
      <c r="C77">
        <v>4160</v>
      </c>
      <c r="D77" t="s">
        <v>8</v>
      </c>
      <c r="E77" s="8">
        <v>290000</v>
      </c>
    </row>
    <row r="78" spans="1:8">
      <c r="A78" s="5">
        <v>46140</v>
      </c>
      <c r="C78">
        <v>4160</v>
      </c>
      <c r="D78" t="s">
        <v>8</v>
      </c>
      <c r="E78" s="8">
        <v>107304</v>
      </c>
    </row>
    <row r="79" spans="1:8">
      <c r="A79" s="5">
        <v>46140</v>
      </c>
      <c r="C79">
        <v>5376</v>
      </c>
      <c r="D79" t="s">
        <v>69</v>
      </c>
      <c r="E79" s="8">
        <v>164593</v>
      </c>
    </row>
    <row r="80" spans="1:8">
      <c r="A80" s="5">
        <v>46140</v>
      </c>
      <c r="C80">
        <v>5376</v>
      </c>
      <c r="D80" t="s">
        <v>48</v>
      </c>
      <c r="E80" s="8">
        <v>648913</v>
      </c>
    </row>
    <row r="81" spans="1:5">
      <c r="A81" s="5">
        <v>46140</v>
      </c>
      <c r="C81">
        <v>7513</v>
      </c>
      <c r="D81" t="s">
        <v>198</v>
      </c>
      <c r="E81">
        <v>-282975</v>
      </c>
    </row>
    <row r="82" spans="1:5">
      <c r="A82" s="5">
        <v>46140</v>
      </c>
      <c r="C82">
        <v>7513</v>
      </c>
      <c r="D82" t="s">
        <v>115</v>
      </c>
      <c r="E82">
        <v>-1140100</v>
      </c>
    </row>
    <row r="83" spans="1:5">
      <c r="A83" s="5">
        <v>46140</v>
      </c>
      <c r="C83">
        <v>7513</v>
      </c>
      <c r="D83" t="s">
        <v>199</v>
      </c>
      <c r="E83">
        <v>-4216840</v>
      </c>
    </row>
    <row r="84" spans="1:5">
      <c r="A84" s="5">
        <v>46140</v>
      </c>
      <c r="C84">
        <v>7513</v>
      </c>
      <c r="D84" t="s">
        <v>198</v>
      </c>
      <c r="E84">
        <v>-380374</v>
      </c>
    </row>
    <row r="85" spans="1:5">
      <c r="A85" s="5">
        <v>46140</v>
      </c>
      <c r="C85">
        <v>7513</v>
      </c>
      <c r="D85" t="s">
        <v>200</v>
      </c>
      <c r="E85">
        <v>-300900</v>
      </c>
    </row>
    <row r="86" spans="1:5">
      <c r="A86" s="5">
        <v>46140</v>
      </c>
      <c r="C86">
        <v>8162</v>
      </c>
      <c r="D86" t="s">
        <v>201</v>
      </c>
      <c r="E86">
        <v>-1817800</v>
      </c>
    </row>
    <row r="87" spans="1:5">
      <c r="A87" s="5">
        <v>46140</v>
      </c>
      <c r="C87">
        <v>8162</v>
      </c>
      <c r="D87" t="s">
        <v>202</v>
      </c>
      <c r="E87">
        <v>-946623</v>
      </c>
    </row>
    <row r="88" spans="1:5">
      <c r="A88" s="5">
        <v>46140</v>
      </c>
      <c r="C88">
        <v>8162</v>
      </c>
      <c r="D88" t="s">
        <v>53</v>
      </c>
      <c r="E88">
        <v>-4241160</v>
      </c>
    </row>
    <row r="89" spans="1:5">
      <c r="A89" s="5">
        <v>46140</v>
      </c>
      <c r="C89">
        <v>8162</v>
      </c>
      <c r="D89" t="s">
        <v>75</v>
      </c>
      <c r="E89">
        <v>-270000</v>
      </c>
    </row>
    <row r="90" spans="1:5">
      <c r="A90" s="5">
        <v>46140</v>
      </c>
      <c r="C90">
        <v>8162</v>
      </c>
      <c r="D90" t="s">
        <v>203</v>
      </c>
      <c r="E90">
        <v>-1013550</v>
      </c>
    </row>
    <row r="91" spans="1:5">
      <c r="A91" s="5">
        <v>46140</v>
      </c>
      <c r="C91">
        <v>9124</v>
      </c>
      <c r="D91" t="s">
        <v>12</v>
      </c>
      <c r="E91" s="8">
        <v>180700</v>
      </c>
    </row>
    <row r="92" spans="1:5">
      <c r="A92" s="5">
        <v>46140</v>
      </c>
      <c r="C92">
        <v>9124</v>
      </c>
      <c r="D92" t="s">
        <v>12</v>
      </c>
      <c r="E92" s="8">
        <v>294050</v>
      </c>
    </row>
    <row r="93" spans="1:5">
      <c r="A93" s="5">
        <v>46140</v>
      </c>
      <c r="C93">
        <v>9954</v>
      </c>
      <c r="D93" t="s">
        <v>30</v>
      </c>
      <c r="E93">
        <v>-3990</v>
      </c>
    </row>
    <row r="94" spans="1:5">
      <c r="A94" s="5">
        <v>46140</v>
      </c>
      <c r="C94">
        <v>4065</v>
      </c>
      <c r="D94" t="s">
        <v>191</v>
      </c>
      <c r="E94" s="8">
        <v>100000</v>
      </c>
    </row>
    <row r="95" spans="1:5">
      <c r="A95" s="5">
        <v>46140</v>
      </c>
      <c r="C95">
        <v>9124</v>
      </c>
      <c r="D95" t="s">
        <v>105</v>
      </c>
      <c r="E95" s="8">
        <v>38914</v>
      </c>
    </row>
    <row r="96" spans="1:5">
      <c r="A96" s="6">
        <v>46139</v>
      </c>
      <c r="B96" s="7"/>
      <c r="C96" s="7">
        <v>2999</v>
      </c>
      <c r="D96" s="7" t="s">
        <v>13</v>
      </c>
      <c r="E96" s="7">
        <v>2349.75</v>
      </c>
    </row>
    <row r="97" spans="1:5">
      <c r="A97" s="5">
        <v>46139</v>
      </c>
      <c r="C97">
        <v>1233</v>
      </c>
      <c r="D97" t="s">
        <v>14</v>
      </c>
      <c r="E97">
        <v>-75810</v>
      </c>
    </row>
    <row r="98" spans="1:5">
      <c r="A98" s="5">
        <v>46139</v>
      </c>
      <c r="C98">
        <v>1371</v>
      </c>
      <c r="D98" t="s">
        <v>15</v>
      </c>
      <c r="E98">
        <v>-3990</v>
      </c>
    </row>
    <row r="99" spans="1:5">
      <c r="A99" s="5">
        <v>46139</v>
      </c>
      <c r="C99">
        <v>2142</v>
      </c>
      <c r="D99" t="s">
        <v>192</v>
      </c>
      <c r="E99" s="8">
        <v>8302864</v>
      </c>
    </row>
    <row r="100" spans="1:5">
      <c r="A100" s="5">
        <v>46139</v>
      </c>
      <c r="C100">
        <v>2142</v>
      </c>
      <c r="D100" t="s">
        <v>127</v>
      </c>
      <c r="E100" s="8">
        <v>377478</v>
      </c>
    </row>
    <row r="101" spans="1:5">
      <c r="A101" s="5">
        <v>46139</v>
      </c>
      <c r="C101">
        <v>2142</v>
      </c>
      <c r="D101" t="s">
        <v>16</v>
      </c>
      <c r="E101" s="8">
        <v>319698</v>
      </c>
    </row>
    <row r="102" spans="1:5">
      <c r="A102" s="5">
        <v>46139</v>
      </c>
      <c r="C102">
        <v>2142</v>
      </c>
      <c r="D102" t="s">
        <v>193</v>
      </c>
      <c r="E102" s="8">
        <v>635649</v>
      </c>
    </row>
    <row r="103" spans="1:5">
      <c r="A103" s="5">
        <v>46139</v>
      </c>
      <c r="C103">
        <v>2142</v>
      </c>
      <c r="D103" t="s">
        <v>16</v>
      </c>
      <c r="E103" s="8">
        <v>225489</v>
      </c>
    </row>
    <row r="104" spans="1:5">
      <c r="A104" s="5">
        <v>46139</v>
      </c>
      <c r="C104">
        <v>2142</v>
      </c>
      <c r="D104" t="s">
        <v>16</v>
      </c>
      <c r="E104" s="8">
        <v>409622</v>
      </c>
    </row>
    <row r="105" spans="1:5">
      <c r="A105" s="5">
        <v>46139</v>
      </c>
      <c r="C105">
        <v>2142</v>
      </c>
      <c r="D105" t="s">
        <v>42</v>
      </c>
      <c r="E105" s="8">
        <v>196820</v>
      </c>
    </row>
    <row r="106" spans="1:5">
      <c r="A106" s="5">
        <v>46139</v>
      </c>
      <c r="C106">
        <v>2142</v>
      </c>
      <c r="D106" t="s">
        <v>97</v>
      </c>
      <c r="E106" s="8">
        <v>600149</v>
      </c>
    </row>
    <row r="107" spans="1:5">
      <c r="A107" s="5">
        <v>46139</v>
      </c>
      <c r="C107">
        <v>2142</v>
      </c>
      <c r="D107" t="s">
        <v>16</v>
      </c>
      <c r="E107" s="8">
        <v>642441</v>
      </c>
    </row>
    <row r="108" spans="1:5">
      <c r="A108" s="5">
        <v>46139</v>
      </c>
      <c r="C108">
        <v>3339</v>
      </c>
      <c r="D108" t="s">
        <v>9</v>
      </c>
      <c r="E108">
        <v>-21483.88</v>
      </c>
    </row>
    <row r="109" spans="1:5">
      <c r="A109" s="5">
        <v>46139</v>
      </c>
      <c r="C109">
        <v>4027</v>
      </c>
      <c r="D109" t="s">
        <v>194</v>
      </c>
      <c r="E109" s="8">
        <v>57674</v>
      </c>
    </row>
    <row r="110" spans="1:5">
      <c r="A110" s="5">
        <v>46139</v>
      </c>
      <c r="C110">
        <v>4065</v>
      </c>
      <c r="D110" t="s">
        <v>66</v>
      </c>
      <c r="E110" s="8">
        <v>150000</v>
      </c>
    </row>
    <row r="111" spans="1:5">
      <c r="A111" s="5">
        <v>46139</v>
      </c>
      <c r="C111">
        <v>4160</v>
      </c>
      <c r="D111" t="s">
        <v>8</v>
      </c>
      <c r="E111" s="8">
        <v>312037</v>
      </c>
    </row>
    <row r="112" spans="1:5">
      <c r="A112" s="5">
        <v>46139</v>
      </c>
      <c r="C112">
        <v>4160</v>
      </c>
      <c r="D112" t="s">
        <v>8</v>
      </c>
      <c r="E112" s="8">
        <v>245132</v>
      </c>
    </row>
    <row r="113" spans="1:8">
      <c r="A113" s="5">
        <v>46139</v>
      </c>
      <c r="C113">
        <v>4160</v>
      </c>
      <c r="D113" t="s">
        <v>8</v>
      </c>
      <c r="E113" s="8">
        <v>259304</v>
      </c>
    </row>
    <row r="114" spans="1:8">
      <c r="A114" s="5">
        <v>46139</v>
      </c>
      <c r="C114">
        <v>4160</v>
      </c>
      <c r="D114" t="s">
        <v>8</v>
      </c>
      <c r="E114" s="8">
        <v>125137</v>
      </c>
    </row>
    <row r="115" spans="1:8">
      <c r="A115" s="5">
        <v>46139</v>
      </c>
      <c r="C115">
        <v>4160</v>
      </c>
      <c r="D115" t="s">
        <v>8</v>
      </c>
      <c r="E115" s="8">
        <v>687370</v>
      </c>
    </row>
    <row r="116" spans="1:8">
      <c r="A116" s="5">
        <v>46139</v>
      </c>
      <c r="C116">
        <v>4160</v>
      </c>
      <c r="D116" t="s">
        <v>8</v>
      </c>
      <c r="E116" s="8">
        <v>83814</v>
      </c>
    </row>
    <row r="117" spans="1:8">
      <c r="A117" s="5">
        <v>46139</v>
      </c>
      <c r="C117">
        <v>4160</v>
      </c>
      <c r="D117" t="s">
        <v>8</v>
      </c>
      <c r="E117" s="8">
        <v>162876</v>
      </c>
    </row>
    <row r="118" spans="1:8">
      <c r="A118" s="5">
        <v>46139</v>
      </c>
      <c r="C118">
        <v>4160</v>
      </c>
      <c r="D118" t="s">
        <v>8</v>
      </c>
      <c r="E118" s="8">
        <v>362000</v>
      </c>
    </row>
    <row r="119" spans="1:8">
      <c r="A119" s="5">
        <v>46139</v>
      </c>
      <c r="C119">
        <v>4160</v>
      </c>
      <c r="D119" t="s">
        <v>8</v>
      </c>
      <c r="E119" s="8">
        <v>1707331</v>
      </c>
    </row>
    <row r="120" spans="1:8">
      <c r="A120" s="5">
        <v>46139</v>
      </c>
      <c r="C120">
        <v>4160</v>
      </c>
      <c r="D120" t="s">
        <v>8</v>
      </c>
      <c r="E120" s="8">
        <v>968600</v>
      </c>
    </row>
    <row r="121" spans="1:8">
      <c r="A121" s="5">
        <v>46139</v>
      </c>
      <c r="C121">
        <v>4160</v>
      </c>
      <c r="D121" t="s">
        <v>8</v>
      </c>
      <c r="E121" s="8">
        <v>231720</v>
      </c>
      <c r="F121" s="11">
        <f>+E121-209992</f>
        <v>21728</v>
      </c>
      <c r="G121" s="10" t="s">
        <v>196</v>
      </c>
      <c r="H121" s="10"/>
    </row>
    <row r="122" spans="1:8">
      <c r="A122" s="5">
        <v>46139</v>
      </c>
      <c r="C122">
        <v>4160</v>
      </c>
      <c r="D122" t="s">
        <v>8</v>
      </c>
      <c r="E122" s="8">
        <v>333121</v>
      </c>
    </row>
    <row r="123" spans="1:8">
      <c r="A123" s="5">
        <v>46139</v>
      </c>
      <c r="C123">
        <v>4160</v>
      </c>
      <c r="D123" t="s">
        <v>8</v>
      </c>
      <c r="E123" s="8">
        <v>111036</v>
      </c>
    </row>
    <row r="124" spans="1:8">
      <c r="A124" s="5">
        <v>46139</v>
      </c>
      <c r="C124">
        <v>4160</v>
      </c>
      <c r="D124" t="s">
        <v>8</v>
      </c>
      <c r="E124" s="8">
        <v>103023</v>
      </c>
    </row>
    <row r="125" spans="1:8">
      <c r="A125" s="5">
        <v>46139</v>
      </c>
      <c r="C125">
        <v>4160</v>
      </c>
      <c r="D125" t="s">
        <v>8</v>
      </c>
      <c r="E125" s="8">
        <v>229204</v>
      </c>
    </row>
    <row r="126" spans="1:8">
      <c r="A126" s="5">
        <v>46139</v>
      </c>
      <c r="C126">
        <v>4222</v>
      </c>
      <c r="D126" t="s">
        <v>145</v>
      </c>
      <c r="E126">
        <v>-4211328</v>
      </c>
    </row>
    <row r="127" spans="1:8">
      <c r="A127" s="5">
        <v>46139</v>
      </c>
      <c r="C127">
        <v>4511</v>
      </c>
      <c r="D127" t="s">
        <v>31</v>
      </c>
      <c r="E127" s="8">
        <v>318726</v>
      </c>
    </row>
    <row r="128" spans="1:8">
      <c r="A128" s="5">
        <v>46139</v>
      </c>
      <c r="C128">
        <v>5376</v>
      </c>
      <c r="D128" t="s">
        <v>50</v>
      </c>
      <c r="E128" s="8">
        <v>938159</v>
      </c>
    </row>
    <row r="129" spans="1:5">
      <c r="A129" s="5">
        <v>46139</v>
      </c>
      <c r="C129">
        <v>5376</v>
      </c>
      <c r="D129" t="s">
        <v>51</v>
      </c>
      <c r="E129" s="8">
        <v>1447918</v>
      </c>
    </row>
    <row r="130" spans="1:5">
      <c r="A130" s="5">
        <v>46139</v>
      </c>
      <c r="C130">
        <v>8162</v>
      </c>
      <c r="D130" t="s">
        <v>195</v>
      </c>
      <c r="E130">
        <v>-1154895</v>
      </c>
    </row>
    <row r="131" spans="1:5">
      <c r="A131" s="5">
        <v>46139</v>
      </c>
      <c r="C131">
        <v>9124</v>
      </c>
      <c r="D131" t="s">
        <v>12</v>
      </c>
      <c r="E131" s="8">
        <v>84712</v>
      </c>
    </row>
    <row r="132" spans="1:5">
      <c r="A132" s="5">
        <v>46139</v>
      </c>
      <c r="C132">
        <v>9124</v>
      </c>
      <c r="D132" t="s">
        <v>12</v>
      </c>
      <c r="E132" s="8">
        <v>239000</v>
      </c>
    </row>
    <row r="133" spans="1:5">
      <c r="A133" s="5">
        <v>46139</v>
      </c>
      <c r="C133">
        <v>9124</v>
      </c>
      <c r="D133" t="s">
        <v>12</v>
      </c>
      <c r="E133" s="8">
        <v>472386</v>
      </c>
    </row>
    <row r="134" spans="1:5">
      <c r="A134" s="5">
        <v>46139</v>
      </c>
      <c r="C134">
        <v>9124</v>
      </c>
      <c r="D134" t="s">
        <v>12</v>
      </c>
      <c r="E134" s="8">
        <v>183500</v>
      </c>
    </row>
    <row r="135" spans="1:5">
      <c r="A135" s="5">
        <v>46139</v>
      </c>
      <c r="C135">
        <v>4160</v>
      </c>
      <c r="D135" t="s">
        <v>8</v>
      </c>
      <c r="E135" s="8">
        <v>324900</v>
      </c>
    </row>
    <row r="136" spans="1:5">
      <c r="A136" s="6">
        <v>46138</v>
      </c>
      <c r="B136" s="7"/>
      <c r="C136" s="7">
        <v>2999</v>
      </c>
      <c r="D136" s="7" t="s">
        <v>13</v>
      </c>
      <c r="E136" s="7">
        <v>2259.56</v>
      </c>
    </row>
    <row r="137" spans="1:5">
      <c r="A137" s="5">
        <v>46138</v>
      </c>
      <c r="C137">
        <v>3339</v>
      </c>
      <c r="D137" t="s">
        <v>9</v>
      </c>
      <c r="E137">
        <v>-21748.26</v>
      </c>
    </row>
    <row r="138" spans="1:5">
      <c r="A138" s="5">
        <v>46138</v>
      </c>
      <c r="C138">
        <v>6558</v>
      </c>
      <c r="D138" t="s">
        <v>189</v>
      </c>
      <c r="E138">
        <v>-5437066.7400000002</v>
      </c>
    </row>
    <row r="139" spans="1:5">
      <c r="A139" s="5">
        <v>46138</v>
      </c>
      <c r="C139">
        <v>9124</v>
      </c>
      <c r="D139" t="s">
        <v>12</v>
      </c>
      <c r="E139" s="8">
        <v>101213</v>
      </c>
    </row>
    <row r="140" spans="1:5">
      <c r="A140" s="6">
        <v>46137</v>
      </c>
      <c r="B140" s="7"/>
      <c r="C140" s="7">
        <v>2999</v>
      </c>
      <c r="D140" s="7" t="s">
        <v>13</v>
      </c>
      <c r="E140" s="7">
        <v>2288.91</v>
      </c>
    </row>
    <row r="141" spans="1:5">
      <c r="A141" s="5">
        <v>46137</v>
      </c>
      <c r="C141">
        <v>3339</v>
      </c>
      <c r="D141" t="s">
        <v>9</v>
      </c>
      <c r="E141">
        <v>-1368.61</v>
      </c>
    </row>
    <row r="142" spans="1:5">
      <c r="A142" s="5">
        <v>46137</v>
      </c>
      <c r="C142">
        <v>4065</v>
      </c>
      <c r="D142" t="s">
        <v>66</v>
      </c>
      <c r="E142" s="8">
        <v>100000</v>
      </c>
    </row>
    <row r="143" spans="1:5">
      <c r="A143" s="5">
        <v>46137</v>
      </c>
      <c r="C143">
        <v>4065</v>
      </c>
      <c r="D143" t="s">
        <v>190</v>
      </c>
      <c r="E143" s="8">
        <v>152309</v>
      </c>
    </row>
    <row r="144" spans="1:5">
      <c r="A144" s="5">
        <v>46137</v>
      </c>
      <c r="C144">
        <v>4160</v>
      </c>
      <c r="D144" t="s">
        <v>8</v>
      </c>
      <c r="E144" s="8">
        <v>138639</v>
      </c>
    </row>
    <row r="145" spans="1:5">
      <c r="A145" s="5">
        <v>46137</v>
      </c>
      <c r="C145">
        <v>4160</v>
      </c>
      <c r="D145" t="s">
        <v>8</v>
      </c>
      <c r="E145" s="8">
        <v>143532</v>
      </c>
    </row>
    <row r="146" spans="1:5">
      <c r="A146" s="5">
        <v>46137</v>
      </c>
      <c r="C146">
        <v>4160</v>
      </c>
      <c r="D146" t="s">
        <v>8</v>
      </c>
      <c r="E146" s="8">
        <v>375190</v>
      </c>
    </row>
    <row r="147" spans="1:5">
      <c r="A147" s="5">
        <v>46137</v>
      </c>
      <c r="C147">
        <v>4160</v>
      </c>
      <c r="D147" t="s">
        <v>8</v>
      </c>
      <c r="E147" s="8">
        <v>104330</v>
      </c>
    </row>
    <row r="148" spans="1:5">
      <c r="A148" s="5">
        <v>46137</v>
      </c>
      <c r="C148">
        <v>4160</v>
      </c>
      <c r="D148" t="s">
        <v>8</v>
      </c>
      <c r="E148" s="8">
        <v>628415</v>
      </c>
    </row>
    <row r="149" spans="1:5">
      <c r="A149" s="5">
        <v>46137</v>
      </c>
      <c r="C149">
        <v>4160</v>
      </c>
      <c r="D149" t="s">
        <v>8</v>
      </c>
      <c r="E149" s="8">
        <v>341000</v>
      </c>
    </row>
    <row r="150" spans="1:5">
      <c r="A150" s="5">
        <v>46137</v>
      </c>
      <c r="C150">
        <v>4160</v>
      </c>
      <c r="D150" t="s">
        <v>8</v>
      </c>
      <c r="E150" s="8">
        <v>277900</v>
      </c>
    </row>
    <row r="151" spans="1:5">
      <c r="A151" s="5">
        <v>46137</v>
      </c>
      <c r="C151">
        <v>4160</v>
      </c>
      <c r="D151" t="s">
        <v>8</v>
      </c>
      <c r="E151" s="8">
        <v>360000</v>
      </c>
    </row>
    <row r="152" spans="1:5">
      <c r="A152" s="5">
        <v>46137</v>
      </c>
      <c r="C152">
        <v>4160</v>
      </c>
      <c r="D152" t="s">
        <v>8</v>
      </c>
      <c r="E152" s="8">
        <v>106671</v>
      </c>
    </row>
    <row r="153" spans="1:5">
      <c r="A153" s="5">
        <v>46137</v>
      </c>
      <c r="C153">
        <v>4160</v>
      </c>
      <c r="D153" t="s">
        <v>8</v>
      </c>
      <c r="E153" s="8">
        <v>177501</v>
      </c>
    </row>
    <row r="154" spans="1:5">
      <c r="A154" s="5">
        <v>46137</v>
      </c>
      <c r="C154">
        <v>5380</v>
      </c>
      <c r="D154" t="s">
        <v>152</v>
      </c>
      <c r="E154">
        <v>-342153</v>
      </c>
    </row>
    <row r="155" spans="1:5">
      <c r="A155" s="5">
        <v>46137</v>
      </c>
      <c r="C155">
        <v>9124</v>
      </c>
      <c r="D155" t="s">
        <v>12</v>
      </c>
      <c r="E155" s="8">
        <v>901796</v>
      </c>
    </row>
    <row r="156" spans="1:5">
      <c r="A156" s="5">
        <v>46137</v>
      </c>
      <c r="C156">
        <v>9124</v>
      </c>
      <c r="D156" t="s">
        <v>12</v>
      </c>
      <c r="E156" s="8">
        <v>654095</v>
      </c>
    </row>
    <row r="157" spans="1:5">
      <c r="A157" s="5">
        <v>46137</v>
      </c>
      <c r="C157">
        <v>9124</v>
      </c>
      <c r="D157" t="s">
        <v>12</v>
      </c>
      <c r="E157" s="8">
        <v>182790</v>
      </c>
    </row>
    <row r="158" spans="1:5">
      <c r="A158" s="5">
        <v>46137</v>
      </c>
      <c r="C158">
        <v>9124</v>
      </c>
      <c r="D158" t="s">
        <v>12</v>
      </c>
      <c r="E158" s="8">
        <v>284900</v>
      </c>
    </row>
    <row r="159" spans="1:5">
      <c r="A159" s="5">
        <v>46137</v>
      </c>
      <c r="C159">
        <v>9124</v>
      </c>
      <c r="D159" t="s">
        <v>12</v>
      </c>
      <c r="E159" s="8">
        <v>234717</v>
      </c>
    </row>
    <row r="160" spans="1:5">
      <c r="A160" s="5">
        <v>46137</v>
      </c>
      <c r="C160">
        <v>9124</v>
      </c>
      <c r="D160" t="s">
        <v>12</v>
      </c>
      <c r="E160" s="8">
        <v>113103</v>
      </c>
    </row>
    <row r="161" spans="1:5">
      <c r="A161" s="5">
        <v>46137</v>
      </c>
      <c r="C161">
        <v>9124</v>
      </c>
      <c r="D161" t="s">
        <v>12</v>
      </c>
      <c r="E161" s="8">
        <v>332486</v>
      </c>
    </row>
    <row r="162" spans="1:5">
      <c r="A162" s="5">
        <v>46137</v>
      </c>
      <c r="C162">
        <v>9124</v>
      </c>
      <c r="D162" t="s">
        <v>12</v>
      </c>
      <c r="E162" s="8">
        <v>209938</v>
      </c>
    </row>
    <row r="163" spans="1:5">
      <c r="A163" s="6">
        <v>46136</v>
      </c>
      <c r="B163" s="7"/>
      <c r="C163" s="7">
        <v>2999</v>
      </c>
      <c r="D163" s="7" t="s">
        <v>13</v>
      </c>
      <c r="E163" s="7">
        <v>2258.89</v>
      </c>
    </row>
    <row r="164" spans="1:5">
      <c r="A164" s="5">
        <v>46136</v>
      </c>
      <c r="C164">
        <v>1160</v>
      </c>
      <c r="D164" t="s">
        <v>182</v>
      </c>
      <c r="E164">
        <v>-1200000</v>
      </c>
    </row>
    <row r="165" spans="1:5">
      <c r="A165" s="5">
        <v>46136</v>
      </c>
      <c r="C165">
        <v>1233</v>
      </c>
      <c r="D165" t="s">
        <v>14</v>
      </c>
      <c r="E165">
        <v>-379050</v>
      </c>
    </row>
    <row r="166" spans="1:5">
      <c r="A166" s="5">
        <v>46136</v>
      </c>
      <c r="C166">
        <v>1371</v>
      </c>
      <c r="D166" t="s">
        <v>15</v>
      </c>
      <c r="E166">
        <v>-15960</v>
      </c>
    </row>
    <row r="167" spans="1:5">
      <c r="A167" s="5">
        <v>46136</v>
      </c>
      <c r="C167">
        <v>2142</v>
      </c>
      <c r="D167" t="s">
        <v>16</v>
      </c>
      <c r="E167" s="8">
        <v>392022</v>
      </c>
    </row>
    <row r="168" spans="1:5">
      <c r="A168" s="5">
        <v>46136</v>
      </c>
      <c r="C168">
        <v>2142</v>
      </c>
      <c r="D168" t="s">
        <v>16</v>
      </c>
      <c r="E168" s="8">
        <v>290418</v>
      </c>
    </row>
    <row r="169" spans="1:5">
      <c r="A169" s="5">
        <v>46136</v>
      </c>
      <c r="C169">
        <v>2142</v>
      </c>
      <c r="D169" t="s">
        <v>86</v>
      </c>
      <c r="E169" s="8">
        <v>336778</v>
      </c>
    </row>
    <row r="170" spans="1:5">
      <c r="A170" s="5">
        <v>46136</v>
      </c>
      <c r="C170">
        <v>2142</v>
      </c>
      <c r="D170" t="s">
        <v>96</v>
      </c>
      <c r="E170" s="8">
        <v>513884</v>
      </c>
    </row>
    <row r="171" spans="1:5">
      <c r="A171" s="5">
        <v>46136</v>
      </c>
      <c r="C171">
        <v>3339</v>
      </c>
      <c r="D171" t="s">
        <v>9</v>
      </c>
      <c r="E171">
        <v>-22654.17</v>
      </c>
    </row>
    <row r="172" spans="1:5">
      <c r="A172" s="5">
        <v>46136</v>
      </c>
      <c r="C172">
        <v>4027</v>
      </c>
      <c r="D172" t="s">
        <v>183</v>
      </c>
      <c r="E172" s="8">
        <v>142585</v>
      </c>
    </row>
    <row r="173" spans="1:5">
      <c r="A173" s="5">
        <v>46136</v>
      </c>
      <c r="C173">
        <v>4160</v>
      </c>
      <c r="D173" t="s">
        <v>8</v>
      </c>
      <c r="E173" s="8">
        <v>213963</v>
      </c>
    </row>
    <row r="174" spans="1:5">
      <c r="A174" s="5">
        <v>46136</v>
      </c>
      <c r="C174">
        <v>4160</v>
      </c>
      <c r="D174" t="s">
        <v>8</v>
      </c>
      <c r="E174" s="8">
        <v>233283</v>
      </c>
    </row>
    <row r="175" spans="1:5">
      <c r="A175" s="5">
        <v>46136</v>
      </c>
      <c r="C175">
        <v>4160</v>
      </c>
      <c r="D175" t="s">
        <v>8</v>
      </c>
      <c r="E175" s="8">
        <v>326761</v>
      </c>
    </row>
    <row r="176" spans="1:5">
      <c r="A176" s="5">
        <v>46136</v>
      </c>
      <c r="C176">
        <v>4160</v>
      </c>
      <c r="D176" t="s">
        <v>8</v>
      </c>
      <c r="E176" s="8">
        <v>36636</v>
      </c>
    </row>
    <row r="177" spans="1:5">
      <c r="A177" s="5">
        <v>46136</v>
      </c>
      <c r="C177">
        <v>4160</v>
      </c>
      <c r="D177" t="s">
        <v>8</v>
      </c>
      <c r="E177" s="8">
        <v>107437</v>
      </c>
    </row>
    <row r="178" spans="1:5">
      <c r="A178" s="5">
        <v>46136</v>
      </c>
      <c r="C178">
        <v>4160</v>
      </c>
      <c r="D178" t="s">
        <v>8</v>
      </c>
      <c r="E178" s="8">
        <v>383556</v>
      </c>
    </row>
    <row r="179" spans="1:5">
      <c r="A179" s="5">
        <v>46136</v>
      </c>
      <c r="C179">
        <v>4160</v>
      </c>
      <c r="D179" t="s">
        <v>8</v>
      </c>
      <c r="E179" s="8">
        <v>221937</v>
      </c>
    </row>
    <row r="180" spans="1:5">
      <c r="A180" s="5">
        <v>46136</v>
      </c>
      <c r="C180">
        <v>4160</v>
      </c>
      <c r="D180" t="s">
        <v>8</v>
      </c>
      <c r="E180" s="8">
        <v>162182</v>
      </c>
    </row>
    <row r="181" spans="1:5">
      <c r="A181" s="5">
        <v>46136</v>
      </c>
      <c r="C181">
        <v>4160</v>
      </c>
      <c r="D181" t="s">
        <v>8</v>
      </c>
      <c r="E181" s="8">
        <v>137488</v>
      </c>
    </row>
    <row r="182" spans="1:5">
      <c r="A182" s="5">
        <v>46136</v>
      </c>
      <c r="C182">
        <v>4160</v>
      </c>
      <c r="D182" t="s">
        <v>8</v>
      </c>
      <c r="E182" s="8">
        <v>100000</v>
      </c>
    </row>
    <row r="183" spans="1:5">
      <c r="A183" s="5">
        <v>46136</v>
      </c>
      <c r="C183">
        <v>4160</v>
      </c>
      <c r="D183" t="s">
        <v>8</v>
      </c>
      <c r="E183" s="8">
        <v>96634</v>
      </c>
    </row>
    <row r="184" spans="1:5">
      <c r="A184" s="5">
        <v>46136</v>
      </c>
      <c r="C184">
        <v>4160</v>
      </c>
      <c r="D184" t="s">
        <v>8</v>
      </c>
      <c r="E184" s="8">
        <v>395718</v>
      </c>
    </row>
    <row r="185" spans="1:5">
      <c r="A185" s="5">
        <v>46136</v>
      </c>
      <c r="C185">
        <v>4160</v>
      </c>
      <c r="D185" t="s">
        <v>8</v>
      </c>
      <c r="E185" s="8">
        <v>321615</v>
      </c>
    </row>
    <row r="186" spans="1:5">
      <c r="A186" s="5">
        <v>46136</v>
      </c>
      <c r="C186">
        <v>4160</v>
      </c>
      <c r="D186" t="s">
        <v>8</v>
      </c>
      <c r="E186" s="8">
        <v>542753</v>
      </c>
    </row>
    <row r="187" spans="1:5">
      <c r="A187" s="5">
        <v>46136</v>
      </c>
      <c r="C187">
        <v>4160</v>
      </c>
      <c r="D187" t="s">
        <v>8</v>
      </c>
      <c r="E187" s="8">
        <v>87278</v>
      </c>
    </row>
    <row r="188" spans="1:5">
      <c r="A188" s="5">
        <v>46136</v>
      </c>
      <c r="C188">
        <v>5376</v>
      </c>
      <c r="D188" t="s">
        <v>79</v>
      </c>
      <c r="E188" s="8">
        <v>578042</v>
      </c>
    </row>
    <row r="189" spans="1:5">
      <c r="A189" s="5">
        <v>46136</v>
      </c>
      <c r="C189">
        <v>5376</v>
      </c>
      <c r="D189" t="s">
        <v>90</v>
      </c>
      <c r="E189" s="8">
        <v>492614</v>
      </c>
    </row>
    <row r="190" spans="1:5">
      <c r="A190" s="5">
        <v>46136</v>
      </c>
      <c r="C190">
        <v>5380</v>
      </c>
      <c r="D190" t="s">
        <v>184</v>
      </c>
      <c r="E190">
        <v>-198762</v>
      </c>
    </row>
    <row r="191" spans="1:5">
      <c r="A191" s="5">
        <v>46136</v>
      </c>
      <c r="C191">
        <v>5380</v>
      </c>
      <c r="D191" t="s">
        <v>185</v>
      </c>
      <c r="E191">
        <v>-156000</v>
      </c>
    </row>
    <row r="192" spans="1:5">
      <c r="A192" s="5">
        <v>46136</v>
      </c>
      <c r="C192">
        <v>8162</v>
      </c>
      <c r="D192" t="s">
        <v>93</v>
      </c>
      <c r="E192">
        <v>-2471040</v>
      </c>
    </row>
    <row r="193" spans="1:5">
      <c r="A193" s="5">
        <v>46136</v>
      </c>
      <c r="C193">
        <v>8162</v>
      </c>
      <c r="D193" t="s">
        <v>186</v>
      </c>
      <c r="E193">
        <v>-330000</v>
      </c>
    </row>
    <row r="194" spans="1:5">
      <c r="A194" s="5">
        <v>46136</v>
      </c>
      <c r="C194">
        <v>8162</v>
      </c>
      <c r="D194" t="s">
        <v>187</v>
      </c>
      <c r="E194">
        <v>-600000</v>
      </c>
    </row>
    <row r="195" spans="1:5">
      <c r="A195" s="5">
        <v>46136</v>
      </c>
      <c r="C195">
        <v>8162</v>
      </c>
      <c r="D195" t="s">
        <v>75</v>
      </c>
      <c r="E195">
        <v>-684000</v>
      </c>
    </row>
    <row r="196" spans="1:5">
      <c r="A196" s="5">
        <v>46136</v>
      </c>
      <c r="C196">
        <v>9124</v>
      </c>
      <c r="D196" t="s">
        <v>12</v>
      </c>
      <c r="E196" s="8">
        <v>147119</v>
      </c>
    </row>
    <row r="197" spans="1:5">
      <c r="A197" s="5">
        <v>46136</v>
      </c>
      <c r="C197">
        <v>9124</v>
      </c>
      <c r="D197" t="s">
        <v>12</v>
      </c>
      <c r="E197" s="8">
        <v>272560</v>
      </c>
    </row>
    <row r="198" spans="1:5">
      <c r="A198" s="5">
        <v>46136</v>
      </c>
      <c r="C198">
        <v>9124</v>
      </c>
      <c r="D198" t="s">
        <v>12</v>
      </c>
      <c r="E198" s="8">
        <v>636417</v>
      </c>
    </row>
    <row r="199" spans="1:5">
      <c r="A199" s="5">
        <v>46136</v>
      </c>
      <c r="C199">
        <v>9124</v>
      </c>
      <c r="D199" t="s">
        <v>12</v>
      </c>
      <c r="E199" s="8">
        <v>147112</v>
      </c>
    </row>
    <row r="200" spans="1:5">
      <c r="A200" s="5">
        <v>46136</v>
      </c>
      <c r="C200">
        <v>9124</v>
      </c>
      <c r="D200" t="s">
        <v>12</v>
      </c>
      <c r="E200" s="8">
        <v>168850</v>
      </c>
    </row>
    <row r="201" spans="1:5">
      <c r="A201" s="5">
        <v>46136</v>
      </c>
      <c r="C201">
        <v>9124</v>
      </c>
      <c r="D201" t="s">
        <v>12</v>
      </c>
      <c r="E201" s="8">
        <v>138251</v>
      </c>
    </row>
    <row r="202" spans="1:5">
      <c r="A202" s="5">
        <v>46136</v>
      </c>
      <c r="C202">
        <v>9124</v>
      </c>
      <c r="D202" t="s">
        <v>12</v>
      </c>
      <c r="E202" s="8">
        <v>120136</v>
      </c>
    </row>
    <row r="203" spans="1:5">
      <c r="A203" s="5">
        <v>46136</v>
      </c>
      <c r="C203">
        <v>9124</v>
      </c>
      <c r="D203" t="s">
        <v>12</v>
      </c>
      <c r="E203" s="8">
        <v>213541</v>
      </c>
    </row>
    <row r="204" spans="1:5">
      <c r="A204" s="5">
        <v>46136</v>
      </c>
      <c r="C204">
        <v>9124</v>
      </c>
      <c r="D204" t="s">
        <v>12</v>
      </c>
      <c r="E204" s="8">
        <v>122158</v>
      </c>
    </row>
    <row r="205" spans="1:5">
      <c r="A205" s="5">
        <v>46136</v>
      </c>
      <c r="C205">
        <v>9124</v>
      </c>
      <c r="D205" t="s">
        <v>12</v>
      </c>
      <c r="E205" s="8">
        <v>113856</v>
      </c>
    </row>
    <row r="206" spans="1:5">
      <c r="A206" s="5">
        <v>46136</v>
      </c>
      <c r="C206">
        <v>9124</v>
      </c>
      <c r="D206" t="s">
        <v>12</v>
      </c>
      <c r="E206" s="8">
        <v>183880</v>
      </c>
    </row>
    <row r="207" spans="1:5">
      <c r="A207" s="5">
        <v>46136</v>
      </c>
      <c r="C207">
        <v>9124</v>
      </c>
      <c r="D207" t="s">
        <v>12</v>
      </c>
      <c r="E207" s="8">
        <v>314272</v>
      </c>
    </row>
    <row r="208" spans="1:5">
      <c r="A208" s="5">
        <v>46136</v>
      </c>
      <c r="C208">
        <v>9124</v>
      </c>
      <c r="D208" t="s">
        <v>12</v>
      </c>
      <c r="E208" s="8">
        <v>194659</v>
      </c>
    </row>
    <row r="209" spans="1:11">
      <c r="A209" s="5">
        <v>46136</v>
      </c>
      <c r="C209">
        <v>9954</v>
      </c>
      <c r="D209" t="s">
        <v>30</v>
      </c>
      <c r="E209">
        <v>-3990</v>
      </c>
    </row>
    <row r="210" spans="1:11">
      <c r="A210" s="5">
        <v>46136</v>
      </c>
      <c r="C210">
        <v>4160</v>
      </c>
      <c r="D210" t="s">
        <v>8</v>
      </c>
      <c r="E210" s="8">
        <v>465939</v>
      </c>
    </row>
    <row r="211" spans="1:11">
      <c r="A211" s="6">
        <v>46135</v>
      </c>
      <c r="B211" s="7"/>
      <c r="C211" s="7">
        <v>2999</v>
      </c>
      <c r="D211" s="7" t="s">
        <v>13</v>
      </c>
      <c r="E211" s="7">
        <v>2238.79</v>
      </c>
    </row>
    <row r="212" spans="1:11">
      <c r="A212" s="5">
        <v>46135</v>
      </c>
      <c r="C212">
        <v>844</v>
      </c>
      <c r="D212" t="s">
        <v>126</v>
      </c>
      <c r="E212" s="8">
        <v>960000</v>
      </c>
    </row>
    <row r="213" spans="1:11">
      <c r="A213" s="5">
        <v>46135</v>
      </c>
      <c r="C213">
        <v>1233</v>
      </c>
      <c r="D213" t="s">
        <v>14</v>
      </c>
      <c r="E213">
        <v>-151620</v>
      </c>
    </row>
    <row r="214" spans="1:11">
      <c r="A214" s="5">
        <v>46135</v>
      </c>
      <c r="C214">
        <v>1371</v>
      </c>
      <c r="D214" t="s">
        <v>15</v>
      </c>
      <c r="E214">
        <v>-7980</v>
      </c>
    </row>
    <row r="215" spans="1:11">
      <c r="A215" s="5">
        <v>46135</v>
      </c>
      <c r="C215">
        <v>2142</v>
      </c>
      <c r="D215" t="s">
        <v>40</v>
      </c>
      <c r="E215" s="8">
        <v>284267</v>
      </c>
    </row>
    <row r="216" spans="1:11">
      <c r="A216" s="5">
        <v>46135</v>
      </c>
      <c r="C216">
        <v>2142</v>
      </c>
      <c r="D216" t="s">
        <v>143</v>
      </c>
      <c r="E216" s="8">
        <v>1249223</v>
      </c>
    </row>
    <row r="217" spans="1:11">
      <c r="A217" s="5">
        <v>46135</v>
      </c>
      <c r="C217">
        <v>2142</v>
      </c>
      <c r="D217" t="s">
        <v>171</v>
      </c>
      <c r="E217" s="8">
        <v>481080</v>
      </c>
      <c r="F217" s="11">
        <f>+E217-227632-231720</f>
        <v>21728</v>
      </c>
      <c r="G217" s="10" t="s">
        <v>188</v>
      </c>
      <c r="H217" s="10"/>
      <c r="I217" s="10"/>
      <c r="J217" s="10"/>
    </row>
    <row r="218" spans="1:11">
      <c r="A218" s="5">
        <v>46135</v>
      </c>
      <c r="C218">
        <v>2142</v>
      </c>
      <c r="D218" t="s">
        <v>172</v>
      </c>
      <c r="E218" s="8">
        <v>1750151</v>
      </c>
    </row>
    <row r="219" spans="1:11">
      <c r="A219" s="5">
        <v>46135</v>
      </c>
      <c r="C219">
        <v>2142</v>
      </c>
      <c r="D219" t="s">
        <v>64</v>
      </c>
      <c r="E219" s="8">
        <v>731237</v>
      </c>
    </row>
    <row r="220" spans="1:11">
      <c r="A220" s="5">
        <v>46135</v>
      </c>
      <c r="C220">
        <v>2142</v>
      </c>
      <c r="D220" t="s">
        <v>165</v>
      </c>
      <c r="E220" s="8">
        <v>343721</v>
      </c>
    </row>
    <row r="221" spans="1:11">
      <c r="A221" s="5">
        <v>46135</v>
      </c>
      <c r="C221">
        <v>2142</v>
      </c>
      <c r="D221" t="s">
        <v>173</v>
      </c>
      <c r="E221" s="8">
        <v>1000000</v>
      </c>
      <c r="F221" s="11">
        <f>+E221-206796-306137</f>
        <v>487067</v>
      </c>
      <c r="G221" s="10" t="s">
        <v>215</v>
      </c>
      <c r="H221" s="10"/>
      <c r="I221" s="10"/>
      <c r="J221" s="10"/>
      <c r="K221" s="10"/>
    </row>
    <row r="222" spans="1:11">
      <c r="A222" s="5">
        <v>46135</v>
      </c>
      <c r="C222">
        <v>3339</v>
      </c>
      <c r="D222" t="s">
        <v>9</v>
      </c>
      <c r="E222">
        <v>-19607.82</v>
      </c>
    </row>
    <row r="223" spans="1:11">
      <c r="A223" s="5">
        <v>46135</v>
      </c>
      <c r="C223">
        <v>4027</v>
      </c>
      <c r="D223" t="s">
        <v>174</v>
      </c>
      <c r="E223" s="8">
        <v>205700</v>
      </c>
    </row>
    <row r="224" spans="1:11">
      <c r="A224" s="5">
        <v>46135</v>
      </c>
      <c r="C224">
        <v>4027</v>
      </c>
      <c r="D224" t="s">
        <v>175</v>
      </c>
      <c r="E224" s="8">
        <v>71251</v>
      </c>
    </row>
    <row r="225" spans="1:5">
      <c r="A225" s="5">
        <v>46135</v>
      </c>
      <c r="C225">
        <v>4065</v>
      </c>
      <c r="D225" t="s">
        <v>176</v>
      </c>
      <c r="E225" s="8">
        <v>221135</v>
      </c>
    </row>
    <row r="226" spans="1:5">
      <c r="A226" s="5">
        <v>46135</v>
      </c>
      <c r="C226">
        <v>4065</v>
      </c>
      <c r="D226" t="s">
        <v>177</v>
      </c>
      <c r="E226" s="8">
        <v>22451</v>
      </c>
    </row>
    <row r="227" spans="1:5">
      <c r="A227" s="5">
        <v>46135</v>
      </c>
      <c r="C227">
        <v>4160</v>
      </c>
      <c r="D227" t="s">
        <v>8</v>
      </c>
      <c r="E227" s="8">
        <v>137659</v>
      </c>
    </row>
    <row r="228" spans="1:5">
      <c r="A228" s="5">
        <v>46135</v>
      </c>
      <c r="C228">
        <v>4160</v>
      </c>
      <c r="D228" t="s">
        <v>8</v>
      </c>
      <c r="E228" s="8">
        <v>220800</v>
      </c>
    </row>
    <row r="229" spans="1:5">
      <c r="A229" s="5">
        <v>46135</v>
      </c>
      <c r="C229">
        <v>4160</v>
      </c>
      <c r="D229" t="s">
        <v>8</v>
      </c>
      <c r="E229" s="8">
        <v>178378</v>
      </c>
    </row>
    <row r="230" spans="1:5">
      <c r="A230" s="5">
        <v>46135</v>
      </c>
      <c r="C230">
        <v>4160</v>
      </c>
      <c r="D230" t="s">
        <v>8</v>
      </c>
      <c r="E230" s="8">
        <v>124049</v>
      </c>
    </row>
    <row r="231" spans="1:5">
      <c r="A231" s="5">
        <v>46135</v>
      </c>
      <c r="C231">
        <v>4160</v>
      </c>
      <c r="D231" t="s">
        <v>8</v>
      </c>
      <c r="E231" s="8">
        <v>826504</v>
      </c>
    </row>
    <row r="232" spans="1:5">
      <c r="A232" s="5">
        <v>46135</v>
      </c>
      <c r="C232">
        <v>4160</v>
      </c>
      <c r="D232" t="s">
        <v>8</v>
      </c>
      <c r="E232" s="8">
        <v>90100</v>
      </c>
    </row>
    <row r="233" spans="1:5">
      <c r="A233" s="5">
        <v>46135</v>
      </c>
      <c r="C233">
        <v>4160</v>
      </c>
      <c r="D233" t="s">
        <v>8</v>
      </c>
      <c r="E233" s="8">
        <v>400622</v>
      </c>
    </row>
    <row r="234" spans="1:5">
      <c r="A234" s="5">
        <v>46135</v>
      </c>
      <c r="C234">
        <v>4160</v>
      </c>
      <c r="D234" t="s">
        <v>8</v>
      </c>
      <c r="E234" s="8">
        <v>126610</v>
      </c>
    </row>
    <row r="235" spans="1:5">
      <c r="A235" s="5">
        <v>46135</v>
      </c>
      <c r="C235">
        <v>4160</v>
      </c>
      <c r="D235" t="s">
        <v>8</v>
      </c>
      <c r="E235" s="8">
        <v>230827</v>
      </c>
    </row>
    <row r="236" spans="1:5">
      <c r="A236" s="5">
        <v>46135</v>
      </c>
      <c r="C236">
        <v>4160</v>
      </c>
      <c r="D236" t="s">
        <v>8</v>
      </c>
      <c r="E236" s="8">
        <v>139935</v>
      </c>
    </row>
    <row r="237" spans="1:5">
      <c r="A237" s="5">
        <v>46135</v>
      </c>
      <c r="C237">
        <v>4160</v>
      </c>
      <c r="D237" t="s">
        <v>8</v>
      </c>
      <c r="E237" s="8">
        <v>100000</v>
      </c>
    </row>
    <row r="238" spans="1:5">
      <c r="A238" s="5">
        <v>46135</v>
      </c>
      <c r="C238">
        <v>4160</v>
      </c>
      <c r="D238" t="s">
        <v>8</v>
      </c>
      <c r="E238" s="8">
        <v>103555</v>
      </c>
    </row>
    <row r="239" spans="1:5">
      <c r="A239" s="5">
        <v>46135</v>
      </c>
      <c r="C239">
        <v>5376</v>
      </c>
      <c r="D239" t="s">
        <v>178</v>
      </c>
      <c r="E239" s="8">
        <v>656428.9</v>
      </c>
    </row>
    <row r="240" spans="1:5">
      <c r="A240" s="5">
        <v>46135</v>
      </c>
      <c r="C240">
        <v>5376</v>
      </c>
      <c r="D240" t="s">
        <v>179</v>
      </c>
      <c r="E240" s="8">
        <v>325422</v>
      </c>
    </row>
    <row r="241" spans="1:5">
      <c r="A241" s="5">
        <v>46135</v>
      </c>
      <c r="C241">
        <v>5376</v>
      </c>
      <c r="D241" t="s">
        <v>140</v>
      </c>
      <c r="E241" s="8">
        <v>2538131.62</v>
      </c>
    </row>
    <row r="242" spans="1:5">
      <c r="A242" s="5">
        <v>46135</v>
      </c>
      <c r="C242">
        <v>5380</v>
      </c>
      <c r="D242" t="s">
        <v>180</v>
      </c>
      <c r="E242">
        <v>-499900</v>
      </c>
    </row>
    <row r="243" spans="1:5">
      <c r="A243" s="5">
        <v>46135</v>
      </c>
      <c r="C243">
        <v>8162</v>
      </c>
      <c r="D243" t="s">
        <v>53</v>
      </c>
      <c r="E243">
        <v>-4241160</v>
      </c>
    </row>
    <row r="244" spans="1:5">
      <c r="A244" s="5">
        <v>46135</v>
      </c>
      <c r="C244">
        <v>8162</v>
      </c>
      <c r="D244" t="s">
        <v>181</v>
      </c>
      <c r="E244">
        <v>-151400</v>
      </c>
    </row>
    <row r="245" spans="1:5">
      <c r="A245" s="5">
        <v>46135</v>
      </c>
      <c r="C245">
        <v>9124</v>
      </c>
      <c r="D245" t="s">
        <v>12</v>
      </c>
      <c r="E245" s="8">
        <v>90013</v>
      </c>
    </row>
    <row r="246" spans="1:5">
      <c r="A246" s="5">
        <v>46135</v>
      </c>
      <c r="C246">
        <v>9124</v>
      </c>
      <c r="D246" t="s">
        <v>12</v>
      </c>
      <c r="E246" s="8">
        <v>2884</v>
      </c>
    </row>
    <row r="247" spans="1:5">
      <c r="A247" s="5">
        <v>46135</v>
      </c>
      <c r="C247">
        <v>9124</v>
      </c>
      <c r="D247" t="s">
        <v>12</v>
      </c>
      <c r="E247" s="8">
        <v>100000</v>
      </c>
    </row>
    <row r="248" spans="1:5">
      <c r="A248" s="5">
        <v>46135</v>
      </c>
      <c r="C248">
        <v>9124</v>
      </c>
      <c r="D248" t="s">
        <v>12</v>
      </c>
      <c r="E248" s="8">
        <v>236891</v>
      </c>
    </row>
    <row r="249" spans="1:5">
      <c r="A249" s="5">
        <v>46135</v>
      </c>
      <c r="C249">
        <v>9124</v>
      </c>
      <c r="D249" t="s">
        <v>12</v>
      </c>
      <c r="E249" s="8">
        <v>53594</v>
      </c>
    </row>
    <row r="250" spans="1:5">
      <c r="A250" s="5">
        <v>46135</v>
      </c>
      <c r="C250">
        <v>9124</v>
      </c>
      <c r="D250" t="s">
        <v>12</v>
      </c>
      <c r="E250" s="8">
        <v>162136</v>
      </c>
    </row>
    <row r="251" spans="1:5">
      <c r="A251" s="6">
        <v>46134</v>
      </c>
      <c r="B251" s="7"/>
      <c r="C251" s="7">
        <v>2999</v>
      </c>
      <c r="D251" s="7" t="s">
        <v>13</v>
      </c>
      <c r="E251" s="7">
        <v>2188.13</v>
      </c>
    </row>
    <row r="252" spans="1:5">
      <c r="A252" s="5">
        <v>46134</v>
      </c>
      <c r="C252">
        <v>1160</v>
      </c>
      <c r="D252" t="s">
        <v>58</v>
      </c>
      <c r="E252">
        <v>-1220000</v>
      </c>
    </row>
    <row r="253" spans="1:5">
      <c r="A253" s="5">
        <v>46134</v>
      </c>
      <c r="C253">
        <v>1160</v>
      </c>
      <c r="D253" t="s">
        <v>38</v>
      </c>
      <c r="E253">
        <v>-792000</v>
      </c>
    </row>
    <row r="254" spans="1:5">
      <c r="A254" s="5">
        <v>46134</v>
      </c>
      <c r="C254">
        <v>1233</v>
      </c>
      <c r="D254" t="s">
        <v>14</v>
      </c>
      <c r="E254">
        <v>-303240</v>
      </c>
    </row>
    <row r="255" spans="1:5">
      <c r="A255" s="5">
        <v>46134</v>
      </c>
      <c r="C255">
        <v>1371</v>
      </c>
      <c r="D255" t="s">
        <v>15</v>
      </c>
      <c r="E255">
        <v>-7980</v>
      </c>
    </row>
    <row r="256" spans="1:5">
      <c r="A256" s="5">
        <v>46134</v>
      </c>
      <c r="C256">
        <v>2142</v>
      </c>
      <c r="D256" t="s">
        <v>153</v>
      </c>
      <c r="E256" s="8">
        <v>697013</v>
      </c>
    </row>
    <row r="257" spans="1:10">
      <c r="A257" s="5">
        <v>46134</v>
      </c>
      <c r="C257">
        <v>3339</v>
      </c>
      <c r="D257" t="s">
        <v>9</v>
      </c>
      <c r="E257">
        <v>-57349.82</v>
      </c>
    </row>
    <row r="258" spans="1:10">
      <c r="A258" s="5">
        <v>46134</v>
      </c>
      <c r="C258">
        <v>4065</v>
      </c>
      <c r="D258" t="s">
        <v>154</v>
      </c>
      <c r="E258" s="8">
        <v>175309</v>
      </c>
    </row>
    <row r="259" spans="1:10">
      <c r="A259" s="5">
        <v>46134</v>
      </c>
      <c r="C259">
        <v>4065</v>
      </c>
      <c r="D259" t="s">
        <v>66</v>
      </c>
      <c r="E259" s="8">
        <v>100000</v>
      </c>
    </row>
    <row r="260" spans="1:10">
      <c r="A260" s="5">
        <v>46134</v>
      </c>
      <c r="C260">
        <v>4160</v>
      </c>
      <c r="D260" t="s">
        <v>8</v>
      </c>
      <c r="E260" s="14">
        <v>151400</v>
      </c>
      <c r="F260" s="10"/>
      <c r="G260" s="10" t="s">
        <v>169</v>
      </c>
      <c r="H260" s="10"/>
      <c r="I260" s="10"/>
      <c r="J260" s="10"/>
    </row>
    <row r="261" spans="1:10">
      <c r="A261" s="5">
        <v>46134</v>
      </c>
      <c r="C261">
        <v>4160</v>
      </c>
      <c r="D261" t="s">
        <v>8</v>
      </c>
      <c r="E261" s="8">
        <v>138061</v>
      </c>
    </row>
    <row r="262" spans="1:10">
      <c r="A262" s="5">
        <v>46134</v>
      </c>
      <c r="C262">
        <v>4160</v>
      </c>
      <c r="D262" t="s">
        <v>8</v>
      </c>
      <c r="E262" s="8">
        <v>166198</v>
      </c>
    </row>
    <row r="263" spans="1:10">
      <c r="A263" s="5">
        <v>46134</v>
      </c>
      <c r="C263">
        <v>4160</v>
      </c>
      <c r="D263" t="s">
        <v>8</v>
      </c>
      <c r="E263" s="8">
        <v>1363554</v>
      </c>
    </row>
    <row r="264" spans="1:10">
      <c r="A264" s="5">
        <v>46134</v>
      </c>
      <c r="C264">
        <v>4160</v>
      </c>
      <c r="D264" t="s">
        <v>8</v>
      </c>
      <c r="E264" s="8">
        <v>91652</v>
      </c>
    </row>
    <row r="265" spans="1:10">
      <c r="A265" s="5">
        <v>46134</v>
      </c>
      <c r="C265">
        <v>4160</v>
      </c>
      <c r="D265" t="s">
        <v>8</v>
      </c>
      <c r="E265" s="8">
        <v>745516</v>
      </c>
    </row>
    <row r="266" spans="1:10">
      <c r="A266" s="5">
        <v>46134</v>
      </c>
      <c r="C266">
        <v>4160</v>
      </c>
      <c r="D266" t="s">
        <v>8</v>
      </c>
      <c r="E266" s="8">
        <v>363000</v>
      </c>
    </row>
    <row r="267" spans="1:10">
      <c r="A267" s="5">
        <v>46134</v>
      </c>
      <c r="C267">
        <v>4160</v>
      </c>
      <c r="D267" t="s">
        <v>8</v>
      </c>
      <c r="E267" s="8">
        <v>314627</v>
      </c>
    </row>
    <row r="268" spans="1:10">
      <c r="A268" s="5">
        <v>46134</v>
      </c>
      <c r="C268">
        <v>4160</v>
      </c>
      <c r="D268" t="s">
        <v>8</v>
      </c>
      <c r="E268" s="8">
        <v>178200</v>
      </c>
    </row>
    <row r="269" spans="1:10">
      <c r="A269" s="5">
        <v>46134</v>
      </c>
      <c r="C269">
        <v>5380</v>
      </c>
      <c r="D269" t="s">
        <v>155</v>
      </c>
      <c r="E269">
        <v>-49990</v>
      </c>
    </row>
    <row r="270" spans="1:10">
      <c r="A270" s="5">
        <v>46134</v>
      </c>
      <c r="C270">
        <v>5380</v>
      </c>
      <c r="D270" t="s">
        <v>156</v>
      </c>
      <c r="E270">
        <v>-420000</v>
      </c>
    </row>
    <row r="271" spans="1:10">
      <c r="A271" s="5">
        <v>46134</v>
      </c>
      <c r="C271">
        <v>5380</v>
      </c>
      <c r="D271" t="s">
        <v>157</v>
      </c>
      <c r="E271">
        <v>-607000</v>
      </c>
    </row>
    <row r="272" spans="1:10">
      <c r="A272" s="5">
        <v>46134</v>
      </c>
      <c r="C272">
        <v>5380</v>
      </c>
      <c r="D272" t="s">
        <v>157</v>
      </c>
      <c r="E272">
        <v>-10000</v>
      </c>
    </row>
    <row r="273" spans="1:8">
      <c r="A273" s="5">
        <v>46134</v>
      </c>
      <c r="C273">
        <v>7513</v>
      </c>
      <c r="D273" t="s">
        <v>158</v>
      </c>
      <c r="E273">
        <v>-4326000</v>
      </c>
    </row>
    <row r="274" spans="1:8">
      <c r="A274" s="5">
        <v>46134</v>
      </c>
      <c r="C274">
        <v>7513</v>
      </c>
      <c r="D274" t="s">
        <v>124</v>
      </c>
      <c r="E274">
        <v>-140000</v>
      </c>
    </row>
    <row r="275" spans="1:8">
      <c r="A275" s="5">
        <v>46134</v>
      </c>
      <c r="C275">
        <v>7513</v>
      </c>
      <c r="D275" t="s">
        <v>159</v>
      </c>
      <c r="E275">
        <v>-2692542</v>
      </c>
    </row>
    <row r="276" spans="1:8">
      <c r="A276" s="5">
        <v>46134</v>
      </c>
      <c r="C276">
        <v>7513</v>
      </c>
      <c r="D276" t="s">
        <v>160</v>
      </c>
      <c r="E276">
        <v>-178745</v>
      </c>
    </row>
    <row r="277" spans="1:8">
      <c r="A277" s="5">
        <v>46134</v>
      </c>
      <c r="C277">
        <v>8162</v>
      </c>
      <c r="D277" t="s">
        <v>81</v>
      </c>
      <c r="E277">
        <v>-1113750</v>
      </c>
    </row>
    <row r="278" spans="1:8">
      <c r="A278" s="5">
        <v>46134</v>
      </c>
      <c r="C278">
        <v>8162</v>
      </c>
      <c r="D278" t="s">
        <v>93</v>
      </c>
      <c r="E278">
        <v>-2768436</v>
      </c>
    </row>
    <row r="279" spans="1:8">
      <c r="A279" s="5">
        <v>46134</v>
      </c>
      <c r="C279">
        <v>9124</v>
      </c>
      <c r="D279" t="s">
        <v>12</v>
      </c>
      <c r="E279" s="8">
        <v>471000</v>
      </c>
      <c r="F279" s="11">
        <f>+E279-466248</f>
        <v>4752</v>
      </c>
      <c r="G279" s="10" t="s">
        <v>170</v>
      </c>
      <c r="H279" s="10"/>
    </row>
    <row r="280" spans="1:8">
      <c r="A280" s="5">
        <v>46134</v>
      </c>
      <c r="C280">
        <v>9124</v>
      </c>
      <c r="D280" t="s">
        <v>12</v>
      </c>
      <c r="E280" s="8">
        <v>139000</v>
      </c>
    </row>
    <row r="281" spans="1:8">
      <c r="A281" s="5">
        <v>46134</v>
      </c>
      <c r="C281">
        <v>9124</v>
      </c>
      <c r="D281" t="s">
        <v>12</v>
      </c>
      <c r="E281" s="8">
        <v>243623</v>
      </c>
    </row>
    <row r="282" spans="1:8">
      <c r="A282" s="5">
        <v>46134</v>
      </c>
      <c r="C282">
        <v>9124</v>
      </c>
      <c r="D282" t="s">
        <v>12</v>
      </c>
      <c r="E282" s="8">
        <v>140000</v>
      </c>
    </row>
    <row r="283" spans="1:8">
      <c r="A283" s="5">
        <v>46134</v>
      </c>
      <c r="C283">
        <v>9124</v>
      </c>
      <c r="D283" t="s">
        <v>12</v>
      </c>
      <c r="E283" s="8">
        <v>387215</v>
      </c>
    </row>
    <row r="284" spans="1:8">
      <c r="A284" s="5">
        <v>46134</v>
      </c>
      <c r="C284">
        <v>9124</v>
      </c>
      <c r="D284" t="s">
        <v>12</v>
      </c>
      <c r="E284" s="8">
        <v>169732</v>
      </c>
    </row>
    <row r="285" spans="1:8">
      <c r="A285" s="5">
        <v>46134</v>
      </c>
      <c r="C285">
        <v>9124</v>
      </c>
      <c r="D285" t="s">
        <v>12</v>
      </c>
      <c r="E285" s="8">
        <v>68000</v>
      </c>
    </row>
    <row r="286" spans="1:8">
      <c r="A286" s="5">
        <v>46134</v>
      </c>
      <c r="C286">
        <v>9954</v>
      </c>
      <c r="D286" t="s">
        <v>30</v>
      </c>
      <c r="E286">
        <v>-7980</v>
      </c>
    </row>
    <row r="287" spans="1:8">
      <c r="A287" s="6">
        <v>46133</v>
      </c>
      <c r="B287" s="7"/>
      <c r="C287" s="7">
        <v>2999</v>
      </c>
      <c r="D287" s="7" t="s">
        <v>13</v>
      </c>
      <c r="E287" s="7">
        <v>2233.5500000000002</v>
      </c>
    </row>
    <row r="288" spans="1:8">
      <c r="A288" s="5">
        <v>46133</v>
      </c>
      <c r="C288">
        <v>1233</v>
      </c>
      <c r="D288" t="s">
        <v>14</v>
      </c>
      <c r="E288">
        <v>-1516.2</v>
      </c>
    </row>
    <row r="289" spans="1:5">
      <c r="A289" s="5">
        <v>46133</v>
      </c>
      <c r="C289">
        <v>1233</v>
      </c>
      <c r="D289" t="s">
        <v>14</v>
      </c>
      <c r="E289">
        <v>-758.1</v>
      </c>
    </row>
    <row r="290" spans="1:5">
      <c r="A290" s="5">
        <v>46133</v>
      </c>
      <c r="C290">
        <v>1371</v>
      </c>
      <c r="D290" t="s">
        <v>15</v>
      </c>
      <c r="E290">
        <v>-3990</v>
      </c>
    </row>
    <row r="291" spans="1:5">
      <c r="A291" s="5">
        <v>46133</v>
      </c>
      <c r="C291">
        <v>1371</v>
      </c>
      <c r="D291" t="s">
        <v>15</v>
      </c>
      <c r="E291">
        <v>-7980</v>
      </c>
    </row>
    <row r="292" spans="1:5">
      <c r="A292" s="5">
        <v>46133</v>
      </c>
      <c r="C292">
        <v>3339</v>
      </c>
      <c r="D292" t="s">
        <v>9</v>
      </c>
      <c r="E292">
        <v>-3280.27</v>
      </c>
    </row>
    <row r="293" spans="1:5">
      <c r="A293" s="5">
        <v>46133</v>
      </c>
      <c r="C293">
        <v>4065</v>
      </c>
      <c r="D293" t="s">
        <v>161</v>
      </c>
      <c r="E293" s="8">
        <v>218618</v>
      </c>
    </row>
    <row r="294" spans="1:5">
      <c r="A294" s="5">
        <v>46133</v>
      </c>
      <c r="C294">
        <v>4065</v>
      </c>
      <c r="D294" t="s">
        <v>27</v>
      </c>
      <c r="E294" s="8">
        <v>172182</v>
      </c>
    </row>
    <row r="295" spans="1:5">
      <c r="A295" s="5">
        <v>46133</v>
      </c>
      <c r="C295">
        <v>4065</v>
      </c>
      <c r="D295" t="s">
        <v>33</v>
      </c>
      <c r="E295" s="8">
        <v>690849</v>
      </c>
    </row>
    <row r="296" spans="1:5">
      <c r="A296" s="5">
        <v>46133</v>
      </c>
      <c r="C296">
        <v>4065</v>
      </c>
      <c r="D296" t="s">
        <v>162</v>
      </c>
      <c r="E296" s="8">
        <v>120000</v>
      </c>
    </row>
    <row r="297" spans="1:5">
      <c r="A297" s="5">
        <v>46133</v>
      </c>
      <c r="C297">
        <v>4160</v>
      </c>
      <c r="D297" t="s">
        <v>8</v>
      </c>
      <c r="E297" s="8">
        <v>115074</v>
      </c>
    </row>
    <row r="298" spans="1:5">
      <c r="A298" s="5">
        <v>46133</v>
      </c>
      <c r="C298">
        <v>4160</v>
      </c>
      <c r="D298" t="s">
        <v>8</v>
      </c>
      <c r="E298" s="8">
        <v>1572315</v>
      </c>
    </row>
    <row r="299" spans="1:5">
      <c r="A299" s="5">
        <v>46133</v>
      </c>
      <c r="C299">
        <v>4160</v>
      </c>
      <c r="D299" t="s">
        <v>8</v>
      </c>
      <c r="E299" s="8">
        <v>403698</v>
      </c>
    </row>
    <row r="300" spans="1:5">
      <c r="A300" s="5">
        <v>46133</v>
      </c>
      <c r="C300">
        <v>4160</v>
      </c>
      <c r="D300" t="s">
        <v>8</v>
      </c>
      <c r="E300" s="8">
        <v>115145</v>
      </c>
    </row>
    <row r="301" spans="1:5">
      <c r="A301" s="5">
        <v>46133</v>
      </c>
      <c r="C301">
        <v>4160</v>
      </c>
      <c r="D301" t="s">
        <v>8</v>
      </c>
      <c r="E301" s="8">
        <v>187357</v>
      </c>
    </row>
    <row r="302" spans="1:5">
      <c r="A302" s="5">
        <v>46133</v>
      </c>
      <c r="C302">
        <v>4160</v>
      </c>
      <c r="D302" t="s">
        <v>8</v>
      </c>
      <c r="E302" s="8">
        <v>88659</v>
      </c>
    </row>
    <row r="303" spans="1:5">
      <c r="A303" s="5">
        <v>46133</v>
      </c>
      <c r="C303">
        <v>4160</v>
      </c>
      <c r="D303" t="s">
        <v>8</v>
      </c>
      <c r="E303" s="8">
        <v>36000</v>
      </c>
    </row>
    <row r="304" spans="1:5">
      <c r="A304" s="5">
        <v>46133</v>
      </c>
      <c r="C304">
        <v>5376</v>
      </c>
      <c r="D304" t="s">
        <v>70</v>
      </c>
      <c r="E304" s="8">
        <v>645214</v>
      </c>
    </row>
    <row r="305" spans="1:9">
      <c r="A305" s="5">
        <v>46133</v>
      </c>
      <c r="C305">
        <v>5376</v>
      </c>
      <c r="D305" t="s">
        <v>69</v>
      </c>
      <c r="E305" s="8">
        <v>253442</v>
      </c>
    </row>
    <row r="306" spans="1:9">
      <c r="A306" s="5">
        <v>46133</v>
      </c>
      <c r="C306">
        <v>5376</v>
      </c>
      <c r="D306" t="s">
        <v>73</v>
      </c>
      <c r="E306" s="8">
        <v>1068153</v>
      </c>
    </row>
    <row r="307" spans="1:9">
      <c r="A307" s="5">
        <v>46133</v>
      </c>
      <c r="C307">
        <v>7513</v>
      </c>
      <c r="D307" t="s">
        <v>134</v>
      </c>
      <c r="E307">
        <v>-124125</v>
      </c>
    </row>
    <row r="308" spans="1:9">
      <c r="A308" s="5">
        <v>46133</v>
      </c>
      <c r="C308">
        <v>7513</v>
      </c>
      <c r="D308" t="s">
        <v>115</v>
      </c>
      <c r="E308">
        <v>-125000</v>
      </c>
    </row>
    <row r="309" spans="1:9">
      <c r="A309" s="5">
        <v>46133</v>
      </c>
      <c r="C309">
        <v>8162</v>
      </c>
      <c r="D309" t="s">
        <v>29</v>
      </c>
      <c r="E309">
        <v>-267500</v>
      </c>
    </row>
    <row r="310" spans="1:9">
      <c r="A310" s="5">
        <v>46133</v>
      </c>
      <c r="C310">
        <v>8162</v>
      </c>
      <c r="D310" t="s">
        <v>163</v>
      </c>
      <c r="E310">
        <v>-75000</v>
      </c>
    </row>
    <row r="311" spans="1:9">
      <c r="A311" s="5">
        <v>46133</v>
      </c>
      <c r="C311">
        <v>8162</v>
      </c>
      <c r="D311" t="s">
        <v>164</v>
      </c>
      <c r="E311">
        <v>-214200</v>
      </c>
    </row>
    <row r="312" spans="1:9">
      <c r="A312" s="5">
        <v>46133</v>
      </c>
      <c r="C312">
        <v>9124</v>
      </c>
      <c r="D312" t="s">
        <v>12</v>
      </c>
      <c r="E312" s="8">
        <v>709778</v>
      </c>
      <c r="F312" s="11">
        <f>+E312-680571</f>
        <v>29207</v>
      </c>
      <c r="G312" s="10" t="s">
        <v>216</v>
      </c>
      <c r="H312" s="10"/>
      <c r="I312" s="10"/>
    </row>
    <row r="313" spans="1:9">
      <c r="A313" s="5">
        <v>46133</v>
      </c>
      <c r="C313">
        <v>9124</v>
      </c>
      <c r="D313" t="s">
        <v>12</v>
      </c>
      <c r="E313" s="8">
        <v>147841</v>
      </c>
    </row>
    <row r="314" spans="1:9">
      <c r="A314" s="5">
        <v>46133</v>
      </c>
      <c r="C314">
        <v>9124</v>
      </c>
      <c r="D314" t="s">
        <v>12</v>
      </c>
      <c r="E314" s="8">
        <v>160702</v>
      </c>
    </row>
    <row r="315" spans="1:9">
      <c r="A315" s="5">
        <v>46133</v>
      </c>
      <c r="C315">
        <v>9124</v>
      </c>
      <c r="D315" t="s">
        <v>12</v>
      </c>
      <c r="E315" s="8">
        <v>473885</v>
      </c>
    </row>
    <row r="316" spans="1:9">
      <c r="A316" s="5">
        <v>46133</v>
      </c>
      <c r="C316">
        <v>9124</v>
      </c>
      <c r="D316" t="s">
        <v>12</v>
      </c>
      <c r="E316" s="8">
        <v>237432</v>
      </c>
    </row>
    <row r="317" spans="1:9">
      <c r="A317" s="5">
        <v>46133</v>
      </c>
      <c r="C317">
        <v>9124</v>
      </c>
      <c r="D317" t="s">
        <v>12</v>
      </c>
      <c r="E317" s="8">
        <v>358997</v>
      </c>
    </row>
    <row r="318" spans="1:9">
      <c r="A318" s="6">
        <v>46132</v>
      </c>
      <c r="B318" s="7"/>
      <c r="C318" s="7">
        <v>2999</v>
      </c>
      <c r="D318" s="7" t="s">
        <v>13</v>
      </c>
      <c r="E318" s="7">
        <v>2195.4499999999998</v>
      </c>
    </row>
    <row r="319" spans="1:9">
      <c r="A319" s="5">
        <v>46132</v>
      </c>
      <c r="C319">
        <v>1160</v>
      </c>
      <c r="D319" t="s">
        <v>58</v>
      </c>
      <c r="E319">
        <v>-1220000</v>
      </c>
    </row>
    <row r="320" spans="1:9">
      <c r="A320" s="5">
        <v>46132</v>
      </c>
      <c r="C320">
        <v>1233</v>
      </c>
      <c r="D320" t="s">
        <v>14</v>
      </c>
      <c r="E320">
        <v>-758.1</v>
      </c>
    </row>
    <row r="321" spans="1:5">
      <c r="A321" s="5">
        <v>46132</v>
      </c>
      <c r="C321">
        <v>2142</v>
      </c>
      <c r="D321" t="s">
        <v>107</v>
      </c>
      <c r="E321" s="8">
        <v>50000</v>
      </c>
    </row>
    <row r="322" spans="1:5">
      <c r="A322" s="5">
        <v>46132</v>
      </c>
      <c r="C322">
        <v>2142</v>
      </c>
      <c r="D322" t="s">
        <v>165</v>
      </c>
      <c r="E322" s="8">
        <v>206233</v>
      </c>
    </row>
    <row r="323" spans="1:5">
      <c r="A323" s="5">
        <v>46132</v>
      </c>
      <c r="C323">
        <v>2142</v>
      </c>
      <c r="D323" t="s">
        <v>42</v>
      </c>
      <c r="E323" s="8">
        <v>139000</v>
      </c>
    </row>
    <row r="324" spans="1:5">
      <c r="A324" s="5">
        <v>46132</v>
      </c>
      <c r="C324">
        <v>2142</v>
      </c>
      <c r="D324" t="s">
        <v>166</v>
      </c>
      <c r="E324" s="8">
        <v>237136</v>
      </c>
    </row>
    <row r="325" spans="1:5">
      <c r="A325" s="5">
        <v>46132</v>
      </c>
      <c r="C325">
        <v>3339</v>
      </c>
      <c r="D325" t="s">
        <v>9</v>
      </c>
      <c r="E325">
        <v>-4898.99</v>
      </c>
    </row>
    <row r="326" spans="1:5">
      <c r="A326" s="5">
        <v>46132</v>
      </c>
      <c r="C326">
        <v>4065</v>
      </c>
      <c r="D326" t="s">
        <v>167</v>
      </c>
      <c r="E326" s="8">
        <v>143700</v>
      </c>
    </row>
    <row r="327" spans="1:5">
      <c r="A327" s="5">
        <v>46132</v>
      </c>
      <c r="C327">
        <v>4160</v>
      </c>
      <c r="D327" t="s">
        <v>8</v>
      </c>
      <c r="E327" s="8">
        <v>103650</v>
      </c>
    </row>
    <row r="328" spans="1:5">
      <c r="A328" s="5">
        <v>46132</v>
      </c>
      <c r="C328">
        <v>4160</v>
      </c>
      <c r="D328" t="s">
        <v>8</v>
      </c>
      <c r="E328" s="8">
        <v>97779</v>
      </c>
    </row>
    <row r="329" spans="1:5">
      <c r="A329" s="5">
        <v>46132</v>
      </c>
      <c r="C329">
        <v>4160</v>
      </c>
      <c r="D329" t="s">
        <v>8</v>
      </c>
      <c r="E329" s="8">
        <v>464657</v>
      </c>
    </row>
    <row r="330" spans="1:5">
      <c r="A330" s="5">
        <v>46132</v>
      </c>
      <c r="C330">
        <v>4160</v>
      </c>
      <c r="D330" t="s">
        <v>8</v>
      </c>
      <c r="E330" s="8">
        <v>99034</v>
      </c>
    </row>
    <row r="331" spans="1:5">
      <c r="A331" s="5">
        <v>46132</v>
      </c>
      <c r="C331">
        <v>4160</v>
      </c>
      <c r="D331" t="s">
        <v>8</v>
      </c>
      <c r="E331" s="8">
        <v>270280</v>
      </c>
    </row>
    <row r="332" spans="1:5">
      <c r="A332" s="5">
        <v>46132</v>
      </c>
      <c r="C332">
        <v>4160</v>
      </c>
      <c r="D332" t="s">
        <v>8</v>
      </c>
      <c r="E332" s="8">
        <v>162535</v>
      </c>
    </row>
    <row r="333" spans="1:5">
      <c r="A333" s="5">
        <v>46132</v>
      </c>
      <c r="C333">
        <v>4160</v>
      </c>
      <c r="D333" t="s">
        <v>8</v>
      </c>
      <c r="E333" s="8">
        <v>97031</v>
      </c>
    </row>
    <row r="334" spans="1:5">
      <c r="A334" s="5">
        <v>46132</v>
      </c>
      <c r="C334">
        <v>4160</v>
      </c>
      <c r="D334" t="s">
        <v>8</v>
      </c>
      <c r="E334" s="8">
        <v>171100</v>
      </c>
    </row>
    <row r="335" spans="1:5">
      <c r="A335" s="5">
        <v>46132</v>
      </c>
      <c r="C335">
        <v>4160</v>
      </c>
      <c r="D335" t="s">
        <v>8</v>
      </c>
      <c r="E335" s="8">
        <v>435717</v>
      </c>
    </row>
    <row r="336" spans="1:5">
      <c r="A336" s="5">
        <v>46132</v>
      </c>
      <c r="C336">
        <v>4160</v>
      </c>
      <c r="D336" t="s">
        <v>8</v>
      </c>
      <c r="E336" s="9">
        <v>187831</v>
      </c>
    </row>
    <row r="337" spans="1:5">
      <c r="A337" s="5">
        <v>46132</v>
      </c>
      <c r="C337">
        <v>5217</v>
      </c>
      <c r="D337" t="s">
        <v>168</v>
      </c>
      <c r="E337" s="8">
        <v>222848</v>
      </c>
    </row>
    <row r="338" spans="1:5">
      <c r="A338" s="5">
        <v>46132</v>
      </c>
      <c r="C338">
        <v>5376</v>
      </c>
      <c r="D338" t="s">
        <v>119</v>
      </c>
      <c r="E338" s="8">
        <v>65607</v>
      </c>
    </row>
    <row r="339" spans="1:5">
      <c r="A339" s="5">
        <v>46132</v>
      </c>
      <c r="C339">
        <v>9124</v>
      </c>
      <c r="D339" t="s">
        <v>12</v>
      </c>
      <c r="E339" s="8">
        <v>300000</v>
      </c>
    </row>
    <row r="340" spans="1:5">
      <c r="A340" s="5">
        <v>46132</v>
      </c>
      <c r="C340">
        <v>9124</v>
      </c>
      <c r="D340" t="s">
        <v>12</v>
      </c>
      <c r="E340" s="8">
        <v>107500</v>
      </c>
    </row>
    <row r="341" spans="1:5">
      <c r="A341" s="5">
        <v>46132</v>
      </c>
      <c r="C341">
        <v>9124</v>
      </c>
      <c r="D341" t="s">
        <v>12</v>
      </c>
      <c r="E341" s="8">
        <v>385400</v>
      </c>
    </row>
    <row r="342" spans="1:5">
      <c r="A342" s="5">
        <v>46132</v>
      </c>
      <c r="C342">
        <v>9954</v>
      </c>
      <c r="D342" t="s">
        <v>30</v>
      </c>
      <c r="E342">
        <v>-3990</v>
      </c>
    </row>
    <row r="343" spans="1:5">
      <c r="A343" s="5">
        <v>46132</v>
      </c>
      <c r="C343">
        <v>9124</v>
      </c>
      <c r="D343" t="s">
        <v>105</v>
      </c>
      <c r="E343" s="8">
        <v>220321</v>
      </c>
    </row>
    <row r="344" spans="1:5">
      <c r="A344" s="6">
        <v>46131</v>
      </c>
      <c r="B344" s="7"/>
      <c r="C344" s="7">
        <v>2999</v>
      </c>
      <c r="D344" s="7" t="s">
        <v>13</v>
      </c>
      <c r="E344" s="7">
        <v>2179.34</v>
      </c>
    </row>
    <row r="345" spans="1:5">
      <c r="A345" s="5">
        <v>46131</v>
      </c>
      <c r="C345">
        <v>4027</v>
      </c>
      <c r="D345" t="s">
        <v>147</v>
      </c>
      <c r="E345" s="8">
        <v>36900</v>
      </c>
    </row>
    <row r="346" spans="1:5">
      <c r="A346" s="5">
        <v>46131</v>
      </c>
      <c r="C346">
        <v>4160</v>
      </c>
      <c r="D346" t="s">
        <v>8</v>
      </c>
      <c r="E346" s="8">
        <v>100000</v>
      </c>
    </row>
    <row r="347" spans="1:5">
      <c r="A347" s="6">
        <v>46130</v>
      </c>
      <c r="B347" s="7"/>
      <c r="C347" s="7">
        <v>2999</v>
      </c>
      <c r="D347" s="7" t="s">
        <v>13</v>
      </c>
      <c r="E347" s="7">
        <v>2178.5700000000002</v>
      </c>
    </row>
    <row r="348" spans="1:5">
      <c r="A348" s="5">
        <v>46130</v>
      </c>
      <c r="C348">
        <v>3339</v>
      </c>
      <c r="D348" t="s">
        <v>9</v>
      </c>
      <c r="E348">
        <v>-4496.3100000000004</v>
      </c>
    </row>
    <row r="349" spans="1:5">
      <c r="A349" s="5">
        <v>46130</v>
      </c>
      <c r="C349">
        <v>4027</v>
      </c>
      <c r="D349" t="s">
        <v>148</v>
      </c>
      <c r="E349" s="8">
        <v>253406</v>
      </c>
    </row>
    <row r="350" spans="1:5">
      <c r="A350" s="5">
        <v>46130</v>
      </c>
      <c r="C350">
        <v>4065</v>
      </c>
      <c r="D350" t="s">
        <v>149</v>
      </c>
      <c r="E350" s="8">
        <v>250000</v>
      </c>
    </row>
    <row r="351" spans="1:5">
      <c r="A351" s="5">
        <v>46130</v>
      </c>
      <c r="C351">
        <v>4065</v>
      </c>
      <c r="D351" t="s">
        <v>66</v>
      </c>
      <c r="E351" s="8">
        <v>200000</v>
      </c>
    </row>
    <row r="352" spans="1:5">
      <c r="A352" s="5">
        <v>46130</v>
      </c>
      <c r="C352">
        <v>4065</v>
      </c>
      <c r="D352" t="s">
        <v>88</v>
      </c>
      <c r="E352" s="8">
        <v>31577</v>
      </c>
    </row>
    <row r="353" spans="1:5">
      <c r="A353" s="5">
        <v>46130</v>
      </c>
      <c r="C353">
        <v>4065</v>
      </c>
      <c r="D353" t="s">
        <v>150</v>
      </c>
      <c r="E353" s="8">
        <v>117183</v>
      </c>
    </row>
    <row r="354" spans="1:5">
      <c r="A354" s="5">
        <v>46130</v>
      </c>
      <c r="C354">
        <v>4065</v>
      </c>
      <c r="D354" t="s">
        <v>88</v>
      </c>
      <c r="E354" s="8">
        <v>91000</v>
      </c>
    </row>
    <row r="355" spans="1:5">
      <c r="A355" s="5">
        <v>46130</v>
      </c>
      <c r="C355">
        <v>4160</v>
      </c>
      <c r="D355" t="s">
        <v>8</v>
      </c>
      <c r="E355" s="8">
        <v>107962</v>
      </c>
    </row>
    <row r="356" spans="1:5">
      <c r="A356" s="5">
        <v>46130</v>
      </c>
      <c r="C356">
        <v>4160</v>
      </c>
      <c r="D356" t="s">
        <v>8</v>
      </c>
      <c r="E356" s="8">
        <v>154882</v>
      </c>
    </row>
    <row r="357" spans="1:5">
      <c r="A357" s="5">
        <v>46130</v>
      </c>
      <c r="C357">
        <v>4160</v>
      </c>
      <c r="D357" t="s">
        <v>8</v>
      </c>
      <c r="E357" s="8">
        <v>211416</v>
      </c>
    </row>
    <row r="358" spans="1:5">
      <c r="A358" s="5">
        <v>46130</v>
      </c>
      <c r="C358">
        <v>4160</v>
      </c>
      <c r="D358" t="s">
        <v>8</v>
      </c>
      <c r="E358" s="8">
        <v>131799</v>
      </c>
    </row>
    <row r="359" spans="1:5">
      <c r="A359" s="5">
        <v>46130</v>
      </c>
      <c r="C359">
        <v>4160</v>
      </c>
      <c r="D359" t="s">
        <v>8</v>
      </c>
      <c r="E359" s="8">
        <v>129688</v>
      </c>
    </row>
    <row r="360" spans="1:5">
      <c r="A360" s="5">
        <v>46130</v>
      </c>
      <c r="C360">
        <v>4160</v>
      </c>
      <c r="D360" t="s">
        <v>8</v>
      </c>
      <c r="E360" s="8">
        <v>69527</v>
      </c>
    </row>
    <row r="361" spans="1:5">
      <c r="A361" s="5">
        <v>46130</v>
      </c>
      <c r="C361">
        <v>4160</v>
      </c>
      <c r="D361" t="s">
        <v>8</v>
      </c>
      <c r="E361" s="8">
        <v>111590</v>
      </c>
    </row>
    <row r="362" spans="1:5">
      <c r="A362" s="5">
        <v>46130</v>
      </c>
      <c r="C362">
        <v>4160</v>
      </c>
      <c r="D362" t="s">
        <v>8</v>
      </c>
      <c r="E362" s="8">
        <v>309637</v>
      </c>
    </row>
    <row r="363" spans="1:5">
      <c r="A363" s="5">
        <v>46130</v>
      </c>
      <c r="C363">
        <v>4160</v>
      </c>
      <c r="D363" t="s">
        <v>8</v>
      </c>
      <c r="E363" s="8">
        <v>308431</v>
      </c>
    </row>
    <row r="364" spans="1:5">
      <c r="A364" s="5">
        <v>46130</v>
      </c>
      <c r="C364">
        <v>4160</v>
      </c>
      <c r="D364" t="s">
        <v>8</v>
      </c>
      <c r="E364" s="8">
        <v>183145</v>
      </c>
    </row>
    <row r="365" spans="1:5">
      <c r="A365" s="5">
        <v>46130</v>
      </c>
      <c r="C365">
        <v>4160</v>
      </c>
      <c r="D365" t="s">
        <v>8</v>
      </c>
      <c r="E365" s="8">
        <v>169111</v>
      </c>
    </row>
    <row r="366" spans="1:5">
      <c r="A366" s="5">
        <v>46130</v>
      </c>
      <c r="C366">
        <v>4160</v>
      </c>
      <c r="D366" t="s">
        <v>8</v>
      </c>
      <c r="E366" s="8">
        <v>347605</v>
      </c>
    </row>
    <row r="367" spans="1:5">
      <c r="A367" s="5">
        <v>46130</v>
      </c>
      <c r="C367">
        <v>4160</v>
      </c>
      <c r="D367" t="s">
        <v>8</v>
      </c>
      <c r="E367" s="8">
        <v>153122</v>
      </c>
    </row>
    <row r="368" spans="1:5">
      <c r="A368" s="5">
        <v>46130</v>
      </c>
      <c r="C368">
        <v>4160</v>
      </c>
      <c r="D368" t="s">
        <v>8</v>
      </c>
      <c r="E368" s="8">
        <v>124941</v>
      </c>
    </row>
    <row r="369" spans="1:5">
      <c r="A369" s="5">
        <v>46130</v>
      </c>
      <c r="C369">
        <v>4160</v>
      </c>
      <c r="D369" t="s">
        <v>8</v>
      </c>
      <c r="E369" s="8">
        <v>105533</v>
      </c>
    </row>
    <row r="370" spans="1:5">
      <c r="A370" s="5">
        <v>46130</v>
      </c>
      <c r="C370">
        <v>5380</v>
      </c>
      <c r="D370" t="s">
        <v>151</v>
      </c>
      <c r="E370">
        <v>-205266</v>
      </c>
    </row>
    <row r="371" spans="1:5">
      <c r="A371" s="5">
        <v>46130</v>
      </c>
      <c r="C371">
        <v>5380</v>
      </c>
      <c r="D371" t="s">
        <v>152</v>
      </c>
      <c r="E371">
        <v>-918813</v>
      </c>
    </row>
    <row r="372" spans="1:5">
      <c r="A372" s="5">
        <v>46130</v>
      </c>
      <c r="C372">
        <v>9124</v>
      </c>
      <c r="D372" t="s">
        <v>12</v>
      </c>
      <c r="E372" s="8">
        <v>93911</v>
      </c>
    </row>
    <row r="373" spans="1:5">
      <c r="A373" s="5">
        <v>46130</v>
      </c>
      <c r="C373">
        <v>9124</v>
      </c>
      <c r="D373" t="s">
        <v>12</v>
      </c>
      <c r="E373" s="8">
        <v>447969</v>
      </c>
    </row>
    <row r="374" spans="1:5">
      <c r="A374" s="5">
        <v>46130</v>
      </c>
      <c r="C374">
        <v>9124</v>
      </c>
      <c r="D374" t="s">
        <v>12</v>
      </c>
      <c r="E374" s="8">
        <v>90824</v>
      </c>
    </row>
    <row r="375" spans="1:5">
      <c r="A375" s="5">
        <v>46130</v>
      </c>
      <c r="C375">
        <v>9124</v>
      </c>
      <c r="D375" t="s">
        <v>12</v>
      </c>
      <c r="E375" s="8">
        <v>154353</v>
      </c>
    </row>
    <row r="376" spans="1:5">
      <c r="A376" s="5">
        <v>46130</v>
      </c>
      <c r="C376">
        <v>9124</v>
      </c>
      <c r="D376" t="s">
        <v>12</v>
      </c>
      <c r="E376" s="8">
        <v>103922</v>
      </c>
    </row>
    <row r="377" spans="1:5">
      <c r="A377" s="5">
        <v>46130</v>
      </c>
      <c r="C377">
        <v>9124</v>
      </c>
      <c r="D377" t="s">
        <v>12</v>
      </c>
      <c r="E377" s="8">
        <v>13800</v>
      </c>
    </row>
    <row r="378" spans="1:5">
      <c r="A378" s="5">
        <v>46130</v>
      </c>
      <c r="C378">
        <v>9124</v>
      </c>
      <c r="D378" t="s">
        <v>12</v>
      </c>
      <c r="E378" s="8">
        <v>474582</v>
      </c>
    </row>
    <row r="379" spans="1:5">
      <c r="A379" s="5">
        <v>46130</v>
      </c>
      <c r="C379">
        <v>9124</v>
      </c>
      <c r="D379" t="s">
        <v>12</v>
      </c>
      <c r="E379" s="8">
        <v>125000</v>
      </c>
    </row>
    <row r="380" spans="1:5">
      <c r="A380" s="6">
        <v>46129</v>
      </c>
      <c r="B380" s="7"/>
      <c r="C380" s="7">
        <v>2999</v>
      </c>
      <c r="D380" s="7" t="s">
        <v>13</v>
      </c>
      <c r="E380" s="7">
        <v>2156.9899999999998</v>
      </c>
    </row>
    <row r="381" spans="1:5">
      <c r="A381" s="5">
        <v>46129</v>
      </c>
      <c r="C381">
        <v>2142</v>
      </c>
      <c r="D381" t="s">
        <v>142</v>
      </c>
      <c r="E381" s="8">
        <v>1152710</v>
      </c>
    </row>
    <row r="382" spans="1:5">
      <c r="A382" s="5">
        <v>46129</v>
      </c>
      <c r="C382">
        <v>2142</v>
      </c>
      <c r="D382" t="s">
        <v>64</v>
      </c>
      <c r="E382" s="8">
        <v>942606</v>
      </c>
    </row>
    <row r="383" spans="1:5">
      <c r="A383" s="5">
        <v>46129</v>
      </c>
      <c r="C383">
        <v>2142</v>
      </c>
      <c r="D383" t="s">
        <v>143</v>
      </c>
      <c r="E383" s="8">
        <v>768857</v>
      </c>
    </row>
    <row r="384" spans="1:5">
      <c r="A384" s="5">
        <v>46129</v>
      </c>
      <c r="C384">
        <v>3339</v>
      </c>
      <c r="D384" t="s">
        <v>9</v>
      </c>
      <c r="E384">
        <v>-80453.91</v>
      </c>
    </row>
    <row r="385" spans="1:5">
      <c r="A385" s="5">
        <v>46129</v>
      </c>
      <c r="C385">
        <v>4065</v>
      </c>
      <c r="D385" t="s">
        <v>144</v>
      </c>
      <c r="E385" s="8">
        <v>60067</v>
      </c>
    </row>
    <row r="386" spans="1:5">
      <c r="A386" s="5">
        <v>46129</v>
      </c>
      <c r="C386">
        <v>4160</v>
      </c>
      <c r="D386" t="s">
        <v>8</v>
      </c>
      <c r="E386" s="8">
        <v>3000000</v>
      </c>
    </row>
    <row r="387" spans="1:5">
      <c r="A387" s="5">
        <v>46129</v>
      </c>
      <c r="C387">
        <v>4160</v>
      </c>
      <c r="D387" t="s">
        <v>8</v>
      </c>
      <c r="E387" s="8">
        <v>405734</v>
      </c>
    </row>
    <row r="388" spans="1:5">
      <c r="A388" s="5">
        <v>46129</v>
      </c>
      <c r="C388">
        <v>4160</v>
      </c>
      <c r="D388" t="s">
        <v>8</v>
      </c>
      <c r="E388" s="8">
        <v>250110</v>
      </c>
    </row>
    <row r="389" spans="1:5">
      <c r="A389" s="5">
        <v>46129</v>
      </c>
      <c r="C389">
        <v>4160</v>
      </c>
      <c r="D389" t="s">
        <v>8</v>
      </c>
      <c r="E389" s="8">
        <v>163184</v>
      </c>
    </row>
    <row r="390" spans="1:5">
      <c r="A390" s="5">
        <v>46129</v>
      </c>
      <c r="C390">
        <v>4160</v>
      </c>
      <c r="D390" t="s">
        <v>8</v>
      </c>
      <c r="E390" s="8">
        <v>647</v>
      </c>
    </row>
    <row r="391" spans="1:5">
      <c r="A391" s="5">
        <v>46129</v>
      </c>
      <c r="C391">
        <v>4160</v>
      </c>
      <c r="D391" t="s">
        <v>8</v>
      </c>
      <c r="E391" s="8">
        <v>82000</v>
      </c>
    </row>
    <row r="392" spans="1:5">
      <c r="A392" s="5">
        <v>46129</v>
      </c>
      <c r="C392">
        <v>4160</v>
      </c>
      <c r="D392" t="s">
        <v>8</v>
      </c>
      <c r="E392" s="8">
        <v>230300</v>
      </c>
    </row>
    <row r="393" spans="1:5">
      <c r="A393" s="5">
        <v>46129</v>
      </c>
      <c r="C393">
        <v>4160</v>
      </c>
      <c r="D393" t="s">
        <v>8</v>
      </c>
      <c r="E393" s="8">
        <v>264648</v>
      </c>
    </row>
    <row r="394" spans="1:5">
      <c r="A394" s="5">
        <v>46129</v>
      </c>
      <c r="C394">
        <v>4160</v>
      </c>
      <c r="D394" t="s">
        <v>8</v>
      </c>
      <c r="E394" s="8">
        <v>302490</v>
      </c>
    </row>
    <row r="395" spans="1:5">
      <c r="A395" s="5">
        <v>46129</v>
      </c>
      <c r="C395">
        <v>4160</v>
      </c>
      <c r="D395" t="s">
        <v>8</v>
      </c>
      <c r="E395" s="8">
        <v>102014</v>
      </c>
    </row>
    <row r="396" spans="1:5">
      <c r="A396" s="5">
        <v>46129</v>
      </c>
      <c r="C396">
        <v>4160</v>
      </c>
      <c r="D396" t="s">
        <v>8</v>
      </c>
      <c r="E396" s="8">
        <v>146442</v>
      </c>
    </row>
    <row r="397" spans="1:5">
      <c r="A397" s="5">
        <v>46129</v>
      </c>
      <c r="C397">
        <v>4160</v>
      </c>
      <c r="D397" t="s">
        <v>8</v>
      </c>
      <c r="E397" s="8">
        <v>314463</v>
      </c>
    </row>
    <row r="398" spans="1:5">
      <c r="A398" s="5">
        <v>46129</v>
      </c>
      <c r="C398">
        <v>4160</v>
      </c>
      <c r="D398" t="s">
        <v>8</v>
      </c>
      <c r="E398" s="8">
        <v>350834</v>
      </c>
    </row>
    <row r="399" spans="1:5">
      <c r="A399" s="5">
        <v>46129</v>
      </c>
      <c r="C399">
        <v>4160</v>
      </c>
      <c r="D399" t="s">
        <v>8</v>
      </c>
      <c r="E399" s="8">
        <v>167514</v>
      </c>
    </row>
    <row r="400" spans="1:5">
      <c r="A400" s="5">
        <v>46129</v>
      </c>
      <c r="C400">
        <v>4160</v>
      </c>
      <c r="D400" t="s">
        <v>8</v>
      </c>
      <c r="E400" s="8">
        <v>42000</v>
      </c>
    </row>
    <row r="401" spans="1:5">
      <c r="A401" s="5">
        <v>46129</v>
      </c>
      <c r="C401">
        <v>4160</v>
      </c>
      <c r="D401" t="s">
        <v>8</v>
      </c>
      <c r="E401" s="8">
        <v>100000</v>
      </c>
    </row>
    <row r="402" spans="1:5">
      <c r="A402" s="5">
        <v>46129</v>
      </c>
      <c r="C402">
        <v>4160</v>
      </c>
      <c r="D402" t="s">
        <v>8</v>
      </c>
      <c r="E402" s="8">
        <v>119257</v>
      </c>
    </row>
    <row r="403" spans="1:5">
      <c r="A403" s="5">
        <v>46129</v>
      </c>
      <c r="C403">
        <v>4160</v>
      </c>
      <c r="D403" t="s">
        <v>8</v>
      </c>
      <c r="E403" s="8">
        <v>238273</v>
      </c>
    </row>
    <row r="404" spans="1:5">
      <c r="A404" s="5">
        <v>46129</v>
      </c>
      <c r="C404">
        <v>4160</v>
      </c>
      <c r="D404" t="s">
        <v>8</v>
      </c>
      <c r="E404" s="8">
        <v>187217</v>
      </c>
    </row>
    <row r="405" spans="1:5">
      <c r="A405" s="5">
        <v>46129</v>
      </c>
      <c r="C405">
        <v>4222</v>
      </c>
      <c r="D405" t="s">
        <v>145</v>
      </c>
      <c r="E405">
        <v>-8607079</v>
      </c>
    </row>
    <row r="406" spans="1:5">
      <c r="A406" s="5">
        <v>46129</v>
      </c>
      <c r="C406">
        <v>5376</v>
      </c>
      <c r="D406" t="s">
        <v>71</v>
      </c>
      <c r="E406" s="8">
        <v>2748445</v>
      </c>
    </row>
    <row r="407" spans="1:5">
      <c r="A407" s="5">
        <v>46129</v>
      </c>
      <c r="C407">
        <v>7513</v>
      </c>
      <c r="D407" t="s">
        <v>146</v>
      </c>
      <c r="E407">
        <v>-11506400</v>
      </c>
    </row>
    <row r="408" spans="1:5">
      <c r="A408" s="5">
        <v>46129</v>
      </c>
      <c r="C408">
        <v>9124</v>
      </c>
      <c r="D408" t="s">
        <v>12</v>
      </c>
      <c r="E408" s="8">
        <v>236733</v>
      </c>
    </row>
    <row r="409" spans="1:5">
      <c r="A409" s="5">
        <v>46129</v>
      </c>
      <c r="C409">
        <v>9124</v>
      </c>
      <c r="D409" t="s">
        <v>12</v>
      </c>
      <c r="E409" s="8">
        <v>66106</v>
      </c>
    </row>
    <row r="410" spans="1:5">
      <c r="A410" s="5">
        <v>46129</v>
      </c>
      <c r="C410">
        <v>9124</v>
      </c>
      <c r="D410" t="s">
        <v>12</v>
      </c>
      <c r="E410" s="8">
        <v>224375</v>
      </c>
    </row>
    <row r="411" spans="1:5">
      <c r="A411" s="5">
        <v>46129</v>
      </c>
      <c r="C411">
        <v>9124</v>
      </c>
      <c r="D411" t="s">
        <v>12</v>
      </c>
      <c r="E411" s="8">
        <v>93226</v>
      </c>
    </row>
    <row r="412" spans="1:5">
      <c r="A412" s="5">
        <v>46129</v>
      </c>
      <c r="C412">
        <v>9124</v>
      </c>
      <c r="D412" t="s">
        <v>12</v>
      </c>
      <c r="E412" s="8">
        <v>164770</v>
      </c>
    </row>
    <row r="413" spans="1:5">
      <c r="A413" s="5">
        <v>46129</v>
      </c>
      <c r="C413">
        <v>5376</v>
      </c>
      <c r="D413" t="s">
        <v>137</v>
      </c>
      <c r="E413" s="8">
        <v>2134018.15</v>
      </c>
    </row>
    <row r="414" spans="1:5">
      <c r="A414" s="5">
        <v>46129</v>
      </c>
      <c r="C414">
        <v>9124</v>
      </c>
      <c r="D414" t="s">
        <v>105</v>
      </c>
      <c r="E414" s="8">
        <v>624101</v>
      </c>
    </row>
    <row r="415" spans="1:5">
      <c r="A415" s="6">
        <v>46128</v>
      </c>
      <c r="B415" s="7"/>
      <c r="C415" s="7">
        <v>2999</v>
      </c>
      <c r="D415" s="7" t="s">
        <v>13</v>
      </c>
      <c r="E415" s="7">
        <v>2181.69</v>
      </c>
    </row>
    <row r="416" spans="1:5">
      <c r="A416" s="5">
        <v>46128</v>
      </c>
      <c r="C416">
        <v>4027</v>
      </c>
      <c r="D416" t="s">
        <v>138</v>
      </c>
      <c r="E416" s="8">
        <v>220077</v>
      </c>
    </row>
    <row r="417" spans="1:9">
      <c r="A417" s="5">
        <v>46128</v>
      </c>
      <c r="C417">
        <v>4065</v>
      </c>
      <c r="D417" t="s">
        <v>139</v>
      </c>
      <c r="E417" s="8">
        <v>36900</v>
      </c>
      <c r="F417" s="11">
        <f>+E417-33209</f>
        <v>3691</v>
      </c>
      <c r="G417" s="10" t="s">
        <v>141</v>
      </c>
      <c r="H417" s="10"/>
      <c r="I417" s="10"/>
    </row>
    <row r="418" spans="1:9">
      <c r="A418" s="5">
        <v>46128</v>
      </c>
      <c r="C418">
        <v>4160</v>
      </c>
      <c r="D418" t="s">
        <v>8</v>
      </c>
      <c r="E418" s="8">
        <v>164655</v>
      </c>
    </row>
    <row r="419" spans="1:9">
      <c r="A419" s="5">
        <v>46128</v>
      </c>
      <c r="C419">
        <v>4160</v>
      </c>
      <c r="D419" t="s">
        <v>8</v>
      </c>
      <c r="E419" s="8">
        <v>157205</v>
      </c>
    </row>
    <row r="420" spans="1:9">
      <c r="A420" s="5">
        <v>46128</v>
      </c>
      <c r="C420">
        <v>4160</v>
      </c>
      <c r="D420" t="s">
        <v>8</v>
      </c>
      <c r="E420" s="8">
        <v>102889</v>
      </c>
    </row>
    <row r="421" spans="1:9">
      <c r="A421" s="5">
        <v>46128</v>
      </c>
      <c r="C421">
        <v>4160</v>
      </c>
      <c r="D421" t="s">
        <v>8</v>
      </c>
      <c r="E421" s="8">
        <v>243450</v>
      </c>
    </row>
    <row r="422" spans="1:9">
      <c r="A422" s="5">
        <v>46128</v>
      </c>
      <c r="C422">
        <v>4160</v>
      </c>
      <c r="D422" t="s">
        <v>8</v>
      </c>
      <c r="E422" s="8">
        <v>812297</v>
      </c>
    </row>
    <row r="423" spans="1:9">
      <c r="A423" s="5">
        <v>46128</v>
      </c>
      <c r="C423">
        <v>4160</v>
      </c>
      <c r="D423" t="s">
        <v>8</v>
      </c>
      <c r="E423" s="8">
        <v>145312</v>
      </c>
    </row>
    <row r="424" spans="1:9">
      <c r="A424" s="5">
        <v>46128</v>
      </c>
      <c r="C424">
        <v>5376</v>
      </c>
      <c r="D424" t="s">
        <v>140</v>
      </c>
      <c r="E424" s="8">
        <v>9397420.2799999993</v>
      </c>
    </row>
    <row r="425" spans="1:9">
      <c r="A425" s="5">
        <v>46128</v>
      </c>
      <c r="C425">
        <v>9124</v>
      </c>
      <c r="D425" t="s">
        <v>12</v>
      </c>
      <c r="E425" s="8">
        <v>125772</v>
      </c>
    </row>
    <row r="426" spans="1:9">
      <c r="A426" s="5">
        <v>46128</v>
      </c>
      <c r="C426">
        <v>9124</v>
      </c>
      <c r="D426" t="s">
        <v>12</v>
      </c>
      <c r="E426" s="8">
        <v>63013</v>
      </c>
    </row>
    <row r="427" spans="1:9">
      <c r="A427" s="5">
        <v>46128</v>
      </c>
      <c r="C427">
        <v>9124</v>
      </c>
      <c r="D427" t="s">
        <v>12</v>
      </c>
      <c r="E427" s="8">
        <v>83900</v>
      </c>
    </row>
    <row r="428" spans="1:9">
      <c r="A428" s="5">
        <v>46128</v>
      </c>
      <c r="C428">
        <v>9124</v>
      </c>
      <c r="D428" t="s">
        <v>12</v>
      </c>
      <c r="E428" s="8">
        <v>121149</v>
      </c>
    </row>
    <row r="429" spans="1:9">
      <c r="A429" s="5">
        <v>46128</v>
      </c>
      <c r="C429">
        <v>9124</v>
      </c>
      <c r="D429" t="s">
        <v>12</v>
      </c>
      <c r="E429" s="8">
        <v>111040</v>
      </c>
    </row>
    <row r="430" spans="1:9">
      <c r="A430" s="5">
        <v>46128</v>
      </c>
      <c r="C430">
        <v>9124</v>
      </c>
      <c r="D430" t="s">
        <v>12</v>
      </c>
      <c r="E430" s="8">
        <v>108000</v>
      </c>
    </row>
    <row r="431" spans="1:9">
      <c r="A431" s="5">
        <v>46128</v>
      </c>
      <c r="C431">
        <v>9124</v>
      </c>
      <c r="D431" t="s">
        <v>12</v>
      </c>
      <c r="E431" s="8">
        <v>307882</v>
      </c>
    </row>
    <row r="432" spans="1:9">
      <c r="A432" s="5">
        <v>46128</v>
      </c>
      <c r="C432">
        <v>9124</v>
      </c>
      <c r="D432" t="s">
        <v>12</v>
      </c>
      <c r="E432" s="8">
        <v>62787</v>
      </c>
    </row>
    <row r="433" spans="1:5">
      <c r="A433" s="6">
        <v>46127</v>
      </c>
      <c r="B433" s="7"/>
      <c r="C433" s="7">
        <v>2999</v>
      </c>
      <c r="D433" s="7" t="s">
        <v>13</v>
      </c>
      <c r="E433" s="7">
        <v>211448</v>
      </c>
    </row>
    <row r="434" spans="1:5">
      <c r="A434" s="5">
        <v>46127</v>
      </c>
      <c r="C434">
        <v>844</v>
      </c>
      <c r="D434" t="s">
        <v>126</v>
      </c>
      <c r="E434" s="8">
        <v>1350000</v>
      </c>
    </row>
    <row r="435" spans="1:5">
      <c r="A435" s="5">
        <v>46127</v>
      </c>
      <c r="C435">
        <v>1160</v>
      </c>
      <c r="D435" t="s">
        <v>58</v>
      </c>
      <c r="E435">
        <v>-1220000</v>
      </c>
    </row>
    <row r="436" spans="1:5">
      <c r="A436" s="5">
        <v>46127</v>
      </c>
      <c r="C436">
        <v>1160</v>
      </c>
      <c r="D436" t="s">
        <v>76</v>
      </c>
      <c r="E436">
        <v>-5742000</v>
      </c>
    </row>
    <row r="437" spans="1:5">
      <c r="A437" s="5">
        <v>46127</v>
      </c>
      <c r="C437">
        <v>1233</v>
      </c>
      <c r="D437" t="s">
        <v>14</v>
      </c>
      <c r="E437">
        <v>-379050</v>
      </c>
    </row>
    <row r="438" spans="1:5">
      <c r="A438" s="5">
        <v>46127</v>
      </c>
      <c r="C438">
        <v>1233</v>
      </c>
      <c r="D438" t="s">
        <v>14</v>
      </c>
      <c r="E438">
        <v>-227430</v>
      </c>
    </row>
    <row r="439" spans="1:5">
      <c r="A439" s="5">
        <v>46127</v>
      </c>
      <c r="C439">
        <v>1371</v>
      </c>
      <c r="D439" t="s">
        <v>15</v>
      </c>
      <c r="E439">
        <v>-11970</v>
      </c>
    </row>
    <row r="440" spans="1:5">
      <c r="A440" s="5">
        <v>46127</v>
      </c>
      <c r="C440">
        <v>1371</v>
      </c>
      <c r="D440" t="s">
        <v>15</v>
      </c>
      <c r="E440">
        <v>-11970</v>
      </c>
    </row>
    <row r="441" spans="1:5">
      <c r="A441" s="5">
        <v>46127</v>
      </c>
      <c r="C441">
        <v>2142</v>
      </c>
      <c r="D441" t="s">
        <v>107</v>
      </c>
      <c r="E441" s="8">
        <v>110160</v>
      </c>
    </row>
    <row r="442" spans="1:5">
      <c r="A442" s="5">
        <v>46127</v>
      </c>
      <c r="C442">
        <v>2142</v>
      </c>
      <c r="D442" t="s">
        <v>127</v>
      </c>
      <c r="E442" s="8">
        <v>444921</v>
      </c>
    </row>
    <row r="443" spans="1:5">
      <c r="A443" s="5">
        <v>46127</v>
      </c>
      <c r="C443">
        <v>2142</v>
      </c>
      <c r="D443" t="s">
        <v>128</v>
      </c>
      <c r="E443" s="8">
        <v>1937000</v>
      </c>
    </row>
    <row r="444" spans="1:5">
      <c r="A444" s="5">
        <v>46127</v>
      </c>
      <c r="C444">
        <v>3339</v>
      </c>
      <c r="D444" t="s">
        <v>9</v>
      </c>
      <c r="E444">
        <v>-131873.99</v>
      </c>
    </row>
    <row r="445" spans="1:5">
      <c r="A445" s="5">
        <v>46127</v>
      </c>
      <c r="C445">
        <v>4027</v>
      </c>
      <c r="D445" t="s">
        <v>129</v>
      </c>
      <c r="E445" s="8">
        <v>82423</v>
      </c>
    </row>
    <row r="446" spans="1:5">
      <c r="A446" s="5">
        <v>46127</v>
      </c>
      <c r="C446">
        <v>4065</v>
      </c>
      <c r="D446" t="s">
        <v>130</v>
      </c>
      <c r="E446" s="8">
        <v>278938</v>
      </c>
    </row>
    <row r="447" spans="1:5">
      <c r="A447" s="5">
        <v>46127</v>
      </c>
      <c r="C447">
        <v>4065</v>
      </c>
      <c r="D447" t="s">
        <v>46</v>
      </c>
      <c r="E447" s="8">
        <v>133427</v>
      </c>
    </row>
    <row r="448" spans="1:5">
      <c r="A448" s="5">
        <v>46127</v>
      </c>
      <c r="C448">
        <v>4065</v>
      </c>
      <c r="D448" t="s">
        <v>131</v>
      </c>
      <c r="E448" s="8">
        <v>471467</v>
      </c>
    </row>
    <row r="449" spans="1:5">
      <c r="A449" s="5">
        <v>46127</v>
      </c>
      <c r="C449">
        <v>4065</v>
      </c>
      <c r="D449" t="s">
        <v>66</v>
      </c>
      <c r="E449" s="8">
        <v>130000</v>
      </c>
    </row>
    <row r="450" spans="1:5">
      <c r="A450" s="5">
        <v>46127</v>
      </c>
      <c r="C450">
        <v>4065</v>
      </c>
      <c r="D450" t="s">
        <v>132</v>
      </c>
      <c r="E450" s="8">
        <v>164774</v>
      </c>
    </row>
    <row r="451" spans="1:5">
      <c r="A451" s="5">
        <v>46127</v>
      </c>
      <c r="C451">
        <v>4160</v>
      </c>
      <c r="D451" t="s">
        <v>8</v>
      </c>
      <c r="E451" s="8">
        <v>138900</v>
      </c>
    </row>
    <row r="452" spans="1:5">
      <c r="A452" s="5">
        <v>46127</v>
      </c>
      <c r="C452">
        <v>4160</v>
      </c>
      <c r="D452" t="s">
        <v>8</v>
      </c>
      <c r="E452" s="9">
        <v>108575</v>
      </c>
    </row>
    <row r="453" spans="1:5">
      <c r="A453" s="5">
        <v>46127</v>
      </c>
      <c r="C453">
        <v>4160</v>
      </c>
      <c r="D453" t="s">
        <v>8</v>
      </c>
      <c r="E453" s="8">
        <v>57889</v>
      </c>
    </row>
    <row r="454" spans="1:5">
      <c r="A454" s="5">
        <v>46127</v>
      </c>
      <c r="C454">
        <v>4160</v>
      </c>
      <c r="D454" t="s">
        <v>8</v>
      </c>
      <c r="E454" s="8">
        <v>308645</v>
      </c>
    </row>
    <row r="455" spans="1:5">
      <c r="A455" s="5">
        <v>46127</v>
      </c>
      <c r="C455">
        <v>4160</v>
      </c>
      <c r="D455" t="s">
        <v>8</v>
      </c>
      <c r="E455" s="8">
        <v>184746</v>
      </c>
    </row>
    <row r="456" spans="1:5">
      <c r="A456" s="5">
        <v>46127</v>
      </c>
      <c r="C456">
        <v>4160</v>
      </c>
      <c r="D456" t="s">
        <v>8</v>
      </c>
      <c r="E456" s="8">
        <v>360453</v>
      </c>
    </row>
    <row r="457" spans="1:5">
      <c r="A457" s="5">
        <v>46127</v>
      </c>
      <c r="C457">
        <v>4160</v>
      </c>
      <c r="D457" t="s">
        <v>8</v>
      </c>
      <c r="E457" s="8">
        <v>157981</v>
      </c>
    </row>
    <row r="458" spans="1:5">
      <c r="A458" s="5">
        <v>46127</v>
      </c>
      <c r="C458">
        <v>4160</v>
      </c>
      <c r="D458" t="s">
        <v>8</v>
      </c>
      <c r="E458" s="8">
        <v>192900</v>
      </c>
    </row>
    <row r="459" spans="1:5">
      <c r="A459" s="5">
        <v>46127</v>
      </c>
      <c r="C459">
        <v>4989</v>
      </c>
      <c r="D459" t="s">
        <v>133</v>
      </c>
      <c r="E459">
        <v>-3901000</v>
      </c>
    </row>
    <row r="460" spans="1:5">
      <c r="A460" s="5">
        <v>46127</v>
      </c>
      <c r="C460">
        <v>5376</v>
      </c>
      <c r="D460" t="s">
        <v>118</v>
      </c>
      <c r="E460" s="8">
        <v>120137</v>
      </c>
    </row>
    <row r="461" spans="1:5">
      <c r="A461" s="5">
        <v>46127</v>
      </c>
      <c r="C461">
        <v>5376</v>
      </c>
      <c r="D461" t="s">
        <v>119</v>
      </c>
      <c r="E461" s="8">
        <v>90892</v>
      </c>
    </row>
    <row r="462" spans="1:5">
      <c r="A462" s="5">
        <v>46127</v>
      </c>
      <c r="C462">
        <v>7513</v>
      </c>
      <c r="D462" t="s">
        <v>134</v>
      </c>
      <c r="E462">
        <v>-146427</v>
      </c>
    </row>
    <row r="463" spans="1:5">
      <c r="A463" s="5">
        <v>46127</v>
      </c>
      <c r="C463">
        <v>8162</v>
      </c>
      <c r="D463" t="s">
        <v>93</v>
      </c>
      <c r="E463">
        <v>-390852</v>
      </c>
    </row>
    <row r="464" spans="1:5">
      <c r="A464" s="5">
        <v>46127</v>
      </c>
      <c r="C464">
        <v>8162</v>
      </c>
      <c r="D464" t="s">
        <v>135</v>
      </c>
      <c r="E464">
        <v>-250000</v>
      </c>
    </row>
    <row r="465" spans="1:5">
      <c r="A465" s="5">
        <v>46127</v>
      </c>
      <c r="C465">
        <v>8162</v>
      </c>
      <c r="D465" t="s">
        <v>53</v>
      </c>
      <c r="E465">
        <v>-4241160</v>
      </c>
    </row>
    <row r="466" spans="1:5">
      <c r="A466" s="5">
        <v>46127</v>
      </c>
      <c r="C466">
        <v>8162</v>
      </c>
      <c r="D466" t="s">
        <v>116</v>
      </c>
      <c r="E466">
        <v>-7683246</v>
      </c>
    </row>
    <row r="467" spans="1:5">
      <c r="A467" s="5">
        <v>46127</v>
      </c>
      <c r="C467">
        <v>8162</v>
      </c>
      <c r="D467" t="s">
        <v>136</v>
      </c>
      <c r="E467">
        <v>-3525830</v>
      </c>
    </row>
    <row r="468" spans="1:5">
      <c r="A468" s="5">
        <v>46127</v>
      </c>
      <c r="C468">
        <v>8162</v>
      </c>
      <c r="D468" t="s">
        <v>75</v>
      </c>
      <c r="E468">
        <v>-5830000</v>
      </c>
    </row>
    <row r="469" spans="1:5">
      <c r="A469" s="5">
        <v>46127</v>
      </c>
      <c r="C469">
        <v>9124</v>
      </c>
      <c r="D469" t="s">
        <v>12</v>
      </c>
      <c r="E469" s="8">
        <v>492712</v>
      </c>
    </row>
    <row r="470" spans="1:5">
      <c r="A470" s="5">
        <v>46127</v>
      </c>
      <c r="C470">
        <v>9124</v>
      </c>
      <c r="D470" t="s">
        <v>12</v>
      </c>
      <c r="E470" s="8">
        <v>103150</v>
      </c>
    </row>
    <row r="471" spans="1:5">
      <c r="A471" s="5">
        <v>46127</v>
      </c>
      <c r="C471">
        <v>9124</v>
      </c>
      <c r="D471" t="s">
        <v>12</v>
      </c>
      <c r="E471" s="8">
        <v>190410</v>
      </c>
    </row>
    <row r="472" spans="1:5">
      <c r="A472" s="5">
        <v>46127</v>
      </c>
      <c r="C472">
        <v>9124</v>
      </c>
      <c r="D472" t="s">
        <v>12</v>
      </c>
      <c r="E472" s="8">
        <v>92900</v>
      </c>
    </row>
    <row r="473" spans="1:5">
      <c r="A473" s="5">
        <v>46127</v>
      </c>
      <c r="C473">
        <v>9124</v>
      </c>
      <c r="D473" t="s">
        <v>12</v>
      </c>
      <c r="E473" s="8">
        <v>169600</v>
      </c>
    </row>
    <row r="474" spans="1:5">
      <c r="A474" s="5">
        <v>46127</v>
      </c>
      <c r="C474">
        <v>9124</v>
      </c>
      <c r="D474" t="s">
        <v>12</v>
      </c>
      <c r="E474" s="8">
        <v>134101</v>
      </c>
    </row>
    <row r="475" spans="1:5">
      <c r="A475" s="5">
        <v>46127</v>
      </c>
      <c r="C475">
        <v>9954</v>
      </c>
      <c r="D475" t="s">
        <v>30</v>
      </c>
      <c r="E475">
        <v>-7980</v>
      </c>
    </row>
    <row r="476" spans="1:5">
      <c r="A476" s="6">
        <v>46126</v>
      </c>
      <c r="B476" s="7"/>
      <c r="C476" s="7">
        <v>2999</v>
      </c>
      <c r="D476" s="7" t="s">
        <v>13</v>
      </c>
      <c r="E476" s="7">
        <v>2251.9699999999998</v>
      </c>
    </row>
    <row r="477" spans="1:5">
      <c r="A477" s="5">
        <v>46126</v>
      </c>
      <c r="C477">
        <v>1185</v>
      </c>
      <c r="D477" t="s">
        <v>120</v>
      </c>
      <c r="E477">
        <v>-208854</v>
      </c>
    </row>
    <row r="478" spans="1:5">
      <c r="A478" s="5">
        <v>46126</v>
      </c>
      <c r="C478">
        <v>2142</v>
      </c>
      <c r="D478" t="s">
        <v>41</v>
      </c>
      <c r="E478" s="8">
        <v>109892</v>
      </c>
    </row>
    <row r="479" spans="1:5">
      <c r="A479" s="5">
        <v>46126</v>
      </c>
      <c r="C479">
        <v>2142</v>
      </c>
      <c r="D479" t="s">
        <v>121</v>
      </c>
      <c r="E479" s="8">
        <v>763049</v>
      </c>
    </row>
    <row r="480" spans="1:5">
      <c r="A480" s="5">
        <v>46126</v>
      </c>
      <c r="C480">
        <v>3339</v>
      </c>
      <c r="D480" t="s">
        <v>9</v>
      </c>
      <c r="E480">
        <v>-1987663</v>
      </c>
    </row>
    <row r="481" spans="1:5">
      <c r="A481" s="5">
        <v>46126</v>
      </c>
      <c r="C481">
        <v>4065</v>
      </c>
      <c r="D481" t="s">
        <v>33</v>
      </c>
      <c r="E481" s="8">
        <v>673213</v>
      </c>
    </row>
    <row r="482" spans="1:5">
      <c r="A482" s="5">
        <v>46126</v>
      </c>
      <c r="C482">
        <v>4160</v>
      </c>
      <c r="D482" t="s">
        <v>8</v>
      </c>
      <c r="E482" s="8">
        <v>115629</v>
      </c>
    </row>
    <row r="483" spans="1:5">
      <c r="A483" s="5">
        <v>46126</v>
      </c>
      <c r="C483">
        <v>4160</v>
      </c>
      <c r="D483" t="s">
        <v>8</v>
      </c>
      <c r="E483" s="8">
        <v>115265</v>
      </c>
    </row>
    <row r="484" spans="1:5">
      <c r="A484" s="5">
        <v>46126</v>
      </c>
      <c r="C484">
        <v>4160</v>
      </c>
      <c r="D484" t="s">
        <v>8</v>
      </c>
      <c r="E484" s="8">
        <v>74580</v>
      </c>
    </row>
    <row r="485" spans="1:5">
      <c r="A485" s="5">
        <v>46126</v>
      </c>
      <c r="C485">
        <v>4160</v>
      </c>
      <c r="D485" t="s">
        <v>8</v>
      </c>
      <c r="E485" s="8">
        <v>125488</v>
      </c>
    </row>
    <row r="486" spans="1:5">
      <c r="A486" s="5">
        <v>46126</v>
      </c>
      <c r="C486">
        <v>4160</v>
      </c>
      <c r="D486" t="s">
        <v>8</v>
      </c>
      <c r="E486" s="8">
        <v>77874</v>
      </c>
    </row>
    <row r="487" spans="1:5">
      <c r="A487" s="5">
        <v>46126</v>
      </c>
      <c r="C487">
        <v>4160</v>
      </c>
      <c r="D487" t="s">
        <v>8</v>
      </c>
      <c r="E487" s="8">
        <v>151317</v>
      </c>
    </row>
    <row r="488" spans="1:5">
      <c r="A488" s="5">
        <v>46126</v>
      </c>
      <c r="C488">
        <v>4160</v>
      </c>
      <c r="D488" t="s">
        <v>8</v>
      </c>
      <c r="E488" s="8">
        <v>100000</v>
      </c>
    </row>
    <row r="489" spans="1:5">
      <c r="A489" s="5">
        <v>46126</v>
      </c>
      <c r="C489">
        <v>4160</v>
      </c>
      <c r="D489" t="s">
        <v>8</v>
      </c>
      <c r="E489" s="8">
        <v>867248</v>
      </c>
    </row>
    <row r="490" spans="1:5">
      <c r="A490" s="5">
        <v>46126</v>
      </c>
      <c r="C490">
        <v>5376</v>
      </c>
      <c r="D490" t="s">
        <v>70</v>
      </c>
      <c r="E490" s="8">
        <v>585166</v>
      </c>
    </row>
    <row r="491" spans="1:5">
      <c r="A491" s="5">
        <v>46126</v>
      </c>
      <c r="C491">
        <v>5380</v>
      </c>
      <c r="D491" t="s">
        <v>122</v>
      </c>
      <c r="E491">
        <v>-70875</v>
      </c>
    </row>
    <row r="492" spans="1:5">
      <c r="A492" s="5">
        <v>46126</v>
      </c>
      <c r="C492">
        <v>5380</v>
      </c>
      <c r="D492" t="s">
        <v>123</v>
      </c>
      <c r="E492">
        <v>-118430</v>
      </c>
    </row>
    <row r="493" spans="1:5">
      <c r="A493" s="5">
        <v>46126</v>
      </c>
      <c r="C493">
        <v>5380</v>
      </c>
      <c r="D493" t="s">
        <v>122</v>
      </c>
      <c r="E493">
        <v>-4417000</v>
      </c>
    </row>
    <row r="494" spans="1:5">
      <c r="A494" s="5">
        <v>46126</v>
      </c>
      <c r="C494">
        <v>7513</v>
      </c>
      <c r="D494" t="s">
        <v>124</v>
      </c>
      <c r="E494">
        <v>-154000</v>
      </c>
    </row>
    <row r="495" spans="1:5">
      <c r="A495" s="5">
        <v>46126</v>
      </c>
      <c r="C495">
        <v>9124</v>
      </c>
      <c r="D495" t="s">
        <v>12</v>
      </c>
      <c r="E495" s="8">
        <v>310950</v>
      </c>
    </row>
    <row r="496" spans="1:5">
      <c r="A496" s="5">
        <v>46126</v>
      </c>
      <c r="C496">
        <v>9124</v>
      </c>
      <c r="D496" t="s">
        <v>12</v>
      </c>
      <c r="E496" s="8">
        <v>186234</v>
      </c>
    </row>
    <row r="497" spans="1:9">
      <c r="A497" s="5">
        <v>46126</v>
      </c>
      <c r="C497">
        <v>9124</v>
      </c>
      <c r="D497" t="s">
        <v>12</v>
      </c>
      <c r="E497" s="8">
        <v>344211</v>
      </c>
    </row>
    <row r="498" spans="1:9">
      <c r="A498" s="6">
        <v>46125</v>
      </c>
      <c r="B498" s="7"/>
      <c r="C498" s="7">
        <v>2999</v>
      </c>
      <c r="D498" s="7" t="s">
        <v>13</v>
      </c>
      <c r="E498" s="7">
        <v>2254.09</v>
      </c>
    </row>
    <row r="499" spans="1:9">
      <c r="A499" s="5">
        <v>46125</v>
      </c>
      <c r="C499">
        <v>1160</v>
      </c>
      <c r="D499" t="s">
        <v>58</v>
      </c>
      <c r="E499">
        <v>-1220000</v>
      </c>
    </row>
    <row r="500" spans="1:9">
      <c r="A500" s="5">
        <v>46125</v>
      </c>
      <c r="C500">
        <v>1233</v>
      </c>
      <c r="D500" t="s">
        <v>14</v>
      </c>
      <c r="E500">
        <v>-227430</v>
      </c>
    </row>
    <row r="501" spans="1:9">
      <c r="A501" s="5">
        <v>46125</v>
      </c>
      <c r="C501">
        <v>1371</v>
      </c>
      <c r="D501" t="s">
        <v>15</v>
      </c>
      <c r="E501">
        <v>-7980</v>
      </c>
      <c r="H501" s="16"/>
      <c r="I501" s="16"/>
    </row>
    <row r="502" spans="1:9">
      <c r="A502" s="5">
        <v>46125</v>
      </c>
      <c r="C502">
        <v>2142</v>
      </c>
      <c r="D502" t="s">
        <v>16</v>
      </c>
      <c r="E502" s="8">
        <v>182322</v>
      </c>
    </row>
    <row r="503" spans="1:9">
      <c r="A503" s="5">
        <v>46125</v>
      </c>
      <c r="C503">
        <v>2142</v>
      </c>
      <c r="D503" t="s">
        <v>42</v>
      </c>
      <c r="E503" s="8">
        <v>168886</v>
      </c>
    </row>
    <row r="504" spans="1:9">
      <c r="A504" s="5">
        <v>46125</v>
      </c>
      <c r="C504">
        <v>2142</v>
      </c>
      <c r="D504" t="s">
        <v>106</v>
      </c>
      <c r="E504" s="8">
        <v>1287032</v>
      </c>
    </row>
    <row r="505" spans="1:9">
      <c r="A505" s="5">
        <v>46125</v>
      </c>
      <c r="C505">
        <v>2142</v>
      </c>
      <c r="D505" t="s">
        <v>43</v>
      </c>
      <c r="E505" s="8">
        <v>430886</v>
      </c>
    </row>
    <row r="506" spans="1:9">
      <c r="A506" s="5">
        <v>46125</v>
      </c>
      <c r="C506">
        <v>2142</v>
      </c>
      <c r="D506" t="s">
        <v>16</v>
      </c>
      <c r="E506" s="8">
        <v>134958</v>
      </c>
    </row>
    <row r="507" spans="1:9">
      <c r="A507" s="5">
        <v>46125</v>
      </c>
      <c r="C507">
        <v>2142</v>
      </c>
      <c r="D507" t="s">
        <v>107</v>
      </c>
      <c r="E507" s="8">
        <v>25300</v>
      </c>
    </row>
    <row r="508" spans="1:9">
      <c r="A508" s="5">
        <v>46125</v>
      </c>
      <c r="C508">
        <v>3339</v>
      </c>
      <c r="D508" t="s">
        <v>9</v>
      </c>
      <c r="E508">
        <v>-64360.68</v>
      </c>
    </row>
    <row r="509" spans="1:9">
      <c r="A509" s="5">
        <v>46125</v>
      </c>
      <c r="C509">
        <v>4065</v>
      </c>
      <c r="D509" t="s">
        <v>27</v>
      </c>
      <c r="E509" s="8">
        <v>107000</v>
      </c>
    </row>
    <row r="510" spans="1:9">
      <c r="A510" s="5">
        <v>46125</v>
      </c>
      <c r="C510">
        <v>4065</v>
      </c>
      <c r="D510" t="s">
        <v>108</v>
      </c>
      <c r="E510" s="8">
        <v>170087</v>
      </c>
    </row>
    <row r="511" spans="1:9">
      <c r="A511" s="5">
        <v>46125</v>
      </c>
      <c r="C511">
        <v>4065</v>
      </c>
      <c r="D511" t="s">
        <v>109</v>
      </c>
      <c r="E511" s="8">
        <v>33000</v>
      </c>
    </row>
    <row r="512" spans="1:9">
      <c r="A512" s="5">
        <v>46125</v>
      </c>
      <c r="C512">
        <v>4160</v>
      </c>
      <c r="D512" t="s">
        <v>8</v>
      </c>
      <c r="E512" s="8">
        <v>132137</v>
      </c>
    </row>
    <row r="513" spans="1:5">
      <c r="A513" s="5">
        <v>46125</v>
      </c>
      <c r="C513">
        <v>4160</v>
      </c>
      <c r="D513" t="s">
        <v>8</v>
      </c>
      <c r="E513" s="8">
        <v>450947</v>
      </c>
    </row>
    <row r="514" spans="1:5">
      <c r="A514" s="5">
        <v>46125</v>
      </c>
      <c r="C514">
        <v>4160</v>
      </c>
      <c r="D514" t="s">
        <v>8</v>
      </c>
      <c r="E514" s="8">
        <v>284332</v>
      </c>
    </row>
    <row r="515" spans="1:5">
      <c r="A515" s="5">
        <v>46125</v>
      </c>
      <c r="C515">
        <v>4160</v>
      </c>
      <c r="D515" t="s">
        <v>8</v>
      </c>
      <c r="E515" s="8">
        <v>319990</v>
      </c>
    </row>
    <row r="516" spans="1:5">
      <c r="A516" s="5">
        <v>46125</v>
      </c>
      <c r="C516">
        <v>4160</v>
      </c>
      <c r="D516" t="s">
        <v>8</v>
      </c>
      <c r="E516" s="8">
        <v>198847</v>
      </c>
    </row>
    <row r="517" spans="1:5">
      <c r="A517" s="5">
        <v>46125</v>
      </c>
      <c r="C517">
        <v>4160</v>
      </c>
      <c r="D517" t="s">
        <v>8</v>
      </c>
      <c r="E517" s="8">
        <v>555000</v>
      </c>
    </row>
    <row r="518" spans="1:5">
      <c r="A518" s="5">
        <v>46125</v>
      </c>
      <c r="C518">
        <v>4160</v>
      </c>
      <c r="D518" t="s">
        <v>8</v>
      </c>
      <c r="E518" s="8">
        <v>308304</v>
      </c>
    </row>
    <row r="519" spans="1:5">
      <c r="A519" s="5">
        <v>46125</v>
      </c>
      <c r="C519">
        <v>4160</v>
      </c>
      <c r="D519" t="s">
        <v>8</v>
      </c>
      <c r="E519" s="8">
        <v>303559</v>
      </c>
    </row>
    <row r="520" spans="1:5">
      <c r="A520" s="5">
        <v>46125</v>
      </c>
      <c r="C520">
        <v>4160</v>
      </c>
      <c r="D520" t="s">
        <v>8</v>
      </c>
      <c r="E520" s="8">
        <v>71129</v>
      </c>
    </row>
    <row r="521" spans="1:5">
      <c r="A521" s="5">
        <v>46125</v>
      </c>
      <c r="C521">
        <v>5376</v>
      </c>
      <c r="D521" t="s">
        <v>69</v>
      </c>
      <c r="E521" s="8">
        <v>223818</v>
      </c>
    </row>
    <row r="522" spans="1:5">
      <c r="A522" s="5">
        <v>46125</v>
      </c>
      <c r="C522">
        <v>5376</v>
      </c>
      <c r="D522" t="s">
        <v>110</v>
      </c>
      <c r="E522" s="8">
        <v>1247626</v>
      </c>
    </row>
    <row r="523" spans="1:5">
      <c r="A523" s="5">
        <v>46125</v>
      </c>
      <c r="C523">
        <v>5376</v>
      </c>
      <c r="D523" t="s">
        <v>111</v>
      </c>
      <c r="E523" s="8">
        <v>533873</v>
      </c>
    </row>
    <row r="524" spans="1:5">
      <c r="A524" s="5">
        <v>46125</v>
      </c>
      <c r="C524">
        <v>5376</v>
      </c>
      <c r="D524" t="s">
        <v>110</v>
      </c>
      <c r="E524" s="8">
        <v>2116881</v>
      </c>
    </row>
    <row r="525" spans="1:5">
      <c r="A525" s="5">
        <v>46125</v>
      </c>
      <c r="C525">
        <v>5376</v>
      </c>
      <c r="D525" t="s">
        <v>51</v>
      </c>
      <c r="E525" s="8">
        <v>624322</v>
      </c>
    </row>
    <row r="526" spans="1:5">
      <c r="A526" s="5">
        <v>46125</v>
      </c>
      <c r="C526">
        <v>5380</v>
      </c>
      <c r="D526" t="s">
        <v>112</v>
      </c>
      <c r="E526">
        <v>-187466</v>
      </c>
    </row>
    <row r="527" spans="1:5">
      <c r="A527" s="5">
        <v>46125</v>
      </c>
      <c r="C527">
        <v>5380</v>
      </c>
      <c r="D527" t="s">
        <v>113</v>
      </c>
      <c r="E527">
        <v>-364930</v>
      </c>
    </row>
    <row r="528" spans="1:5">
      <c r="A528" s="5">
        <v>46125</v>
      </c>
      <c r="C528">
        <v>5380</v>
      </c>
      <c r="D528" t="s">
        <v>114</v>
      </c>
      <c r="E528">
        <v>-895466</v>
      </c>
    </row>
    <row r="529" spans="1:9">
      <c r="A529" s="5">
        <v>46125</v>
      </c>
      <c r="C529">
        <v>7513</v>
      </c>
      <c r="D529" t="s">
        <v>115</v>
      </c>
      <c r="E529">
        <v>-220000</v>
      </c>
    </row>
    <row r="530" spans="1:9">
      <c r="A530" s="5">
        <v>46125</v>
      </c>
      <c r="C530">
        <v>7513</v>
      </c>
      <c r="D530" t="s">
        <v>115</v>
      </c>
      <c r="E530">
        <v>-128040</v>
      </c>
    </row>
    <row r="531" spans="1:9">
      <c r="A531" s="5">
        <v>46125</v>
      </c>
      <c r="C531">
        <v>8162</v>
      </c>
      <c r="D531" t="s">
        <v>116</v>
      </c>
      <c r="E531">
        <v>-12684826</v>
      </c>
    </row>
    <row r="532" spans="1:9">
      <c r="A532" s="5">
        <v>46125</v>
      </c>
      <c r="C532">
        <v>8162</v>
      </c>
      <c r="D532" t="s">
        <v>117</v>
      </c>
      <c r="E532">
        <v>-375200</v>
      </c>
    </row>
    <row r="533" spans="1:9">
      <c r="A533" s="5">
        <v>46125</v>
      </c>
      <c r="C533">
        <v>9124</v>
      </c>
      <c r="D533" t="s">
        <v>12</v>
      </c>
      <c r="E533" s="8">
        <v>224253</v>
      </c>
    </row>
    <row r="534" spans="1:9">
      <c r="A534" s="5">
        <v>46125</v>
      </c>
      <c r="C534">
        <v>9124</v>
      </c>
      <c r="D534" t="s">
        <v>12</v>
      </c>
      <c r="E534" s="8">
        <v>1400</v>
      </c>
    </row>
    <row r="535" spans="1:9">
      <c r="A535" s="5">
        <v>46125</v>
      </c>
      <c r="C535">
        <v>9124</v>
      </c>
      <c r="D535" t="s">
        <v>12</v>
      </c>
      <c r="E535" s="8">
        <v>129913</v>
      </c>
      <c r="F535" s="11">
        <f>+E535-123914</f>
        <v>5999</v>
      </c>
      <c r="G535" s="10" t="s">
        <v>125</v>
      </c>
      <c r="H535" s="10"/>
      <c r="I535" s="10"/>
    </row>
    <row r="536" spans="1:9">
      <c r="A536" s="5">
        <v>46125</v>
      </c>
      <c r="C536">
        <v>9124</v>
      </c>
      <c r="D536" t="s">
        <v>12</v>
      </c>
      <c r="E536" s="8">
        <v>182790</v>
      </c>
    </row>
    <row r="537" spans="1:9">
      <c r="A537" s="5">
        <v>46125</v>
      </c>
      <c r="C537">
        <v>9124</v>
      </c>
      <c r="D537" t="s">
        <v>12</v>
      </c>
      <c r="E537" s="8">
        <v>397095</v>
      </c>
    </row>
    <row r="538" spans="1:9">
      <c r="A538" s="5">
        <v>46125</v>
      </c>
      <c r="C538">
        <v>9954</v>
      </c>
      <c r="D538" t="s">
        <v>30</v>
      </c>
      <c r="E538">
        <v>-3990</v>
      </c>
    </row>
    <row r="539" spans="1:9">
      <c r="A539" s="5">
        <v>46125</v>
      </c>
      <c r="C539">
        <v>5376</v>
      </c>
      <c r="D539" t="s">
        <v>70</v>
      </c>
      <c r="E539" s="8">
        <v>555606</v>
      </c>
    </row>
    <row r="540" spans="1:9">
      <c r="A540" s="5">
        <v>46125</v>
      </c>
      <c r="C540">
        <v>4160</v>
      </c>
      <c r="D540" t="s">
        <v>8</v>
      </c>
      <c r="E540" s="8">
        <v>220300</v>
      </c>
    </row>
    <row r="541" spans="1:9">
      <c r="A541" s="6">
        <v>46124</v>
      </c>
      <c r="B541" s="7"/>
      <c r="C541" s="7">
        <v>2999</v>
      </c>
      <c r="D541" s="7" t="s">
        <v>13</v>
      </c>
      <c r="E541" s="7">
        <v>2278.91</v>
      </c>
    </row>
    <row r="542" spans="1:9">
      <c r="A542" s="5">
        <v>46124</v>
      </c>
      <c r="C542">
        <v>4160</v>
      </c>
      <c r="D542" t="s">
        <v>8</v>
      </c>
      <c r="E542" s="8">
        <v>200000</v>
      </c>
    </row>
    <row r="543" spans="1:9">
      <c r="A543" s="5">
        <v>46124</v>
      </c>
      <c r="C543">
        <v>4511</v>
      </c>
      <c r="D543" t="s">
        <v>31</v>
      </c>
      <c r="E543" s="8">
        <v>105500</v>
      </c>
    </row>
    <row r="544" spans="1:9">
      <c r="A544" s="5">
        <v>46124</v>
      </c>
      <c r="C544">
        <v>9124</v>
      </c>
      <c r="D544" t="s">
        <v>12</v>
      </c>
      <c r="E544" s="8">
        <v>313605</v>
      </c>
    </row>
    <row r="545" spans="1:5">
      <c r="A545" s="6">
        <v>46123</v>
      </c>
      <c r="B545" s="7"/>
      <c r="C545" s="7">
        <v>2999</v>
      </c>
      <c r="D545" s="7" t="s">
        <v>13</v>
      </c>
      <c r="E545" s="7">
        <v>2275.5100000000002</v>
      </c>
    </row>
    <row r="546" spans="1:5">
      <c r="A546" s="5">
        <v>46123</v>
      </c>
      <c r="C546">
        <v>4065</v>
      </c>
      <c r="D546" t="s">
        <v>102</v>
      </c>
      <c r="E546" s="8">
        <v>234837</v>
      </c>
    </row>
    <row r="547" spans="1:5">
      <c r="A547" s="5">
        <v>46123</v>
      </c>
      <c r="C547">
        <v>4065</v>
      </c>
      <c r="D547" t="s">
        <v>103</v>
      </c>
      <c r="E547" s="8">
        <v>131600</v>
      </c>
    </row>
    <row r="548" spans="1:5">
      <c r="A548" s="5">
        <v>46123</v>
      </c>
      <c r="C548">
        <v>4160</v>
      </c>
      <c r="D548" t="s">
        <v>8</v>
      </c>
      <c r="E548" s="8">
        <v>85511</v>
      </c>
    </row>
    <row r="549" spans="1:5">
      <c r="A549" s="5">
        <v>46123</v>
      </c>
      <c r="C549">
        <v>4160</v>
      </c>
      <c r="D549" t="s">
        <v>8</v>
      </c>
      <c r="E549" s="8">
        <v>288977</v>
      </c>
    </row>
    <row r="550" spans="1:5">
      <c r="A550" s="5">
        <v>46123</v>
      </c>
      <c r="C550">
        <v>4160</v>
      </c>
      <c r="D550" t="s">
        <v>8</v>
      </c>
      <c r="E550" s="8">
        <v>199306</v>
      </c>
    </row>
    <row r="551" spans="1:5">
      <c r="A551" s="5">
        <v>46123</v>
      </c>
      <c r="C551">
        <v>4160</v>
      </c>
      <c r="D551" t="s">
        <v>8</v>
      </c>
      <c r="E551" s="8">
        <v>157331</v>
      </c>
    </row>
    <row r="552" spans="1:5">
      <c r="A552" s="5">
        <v>46123</v>
      </c>
      <c r="C552">
        <v>4160</v>
      </c>
      <c r="D552" t="s">
        <v>8</v>
      </c>
      <c r="E552" s="8">
        <v>245772</v>
      </c>
    </row>
    <row r="553" spans="1:5">
      <c r="A553" s="5">
        <v>46123</v>
      </c>
      <c r="C553">
        <v>4160</v>
      </c>
      <c r="D553" t="s">
        <v>8</v>
      </c>
      <c r="E553" s="8">
        <v>80514</v>
      </c>
    </row>
    <row r="554" spans="1:5">
      <c r="A554" s="5">
        <v>46123</v>
      </c>
      <c r="C554">
        <v>4160</v>
      </c>
      <c r="D554" t="s">
        <v>8</v>
      </c>
      <c r="E554" s="8">
        <v>237433</v>
      </c>
    </row>
    <row r="555" spans="1:5">
      <c r="A555" s="5">
        <v>46123</v>
      </c>
      <c r="C555">
        <v>4160</v>
      </c>
      <c r="D555" t="s">
        <v>8</v>
      </c>
      <c r="E555" s="8">
        <v>106494</v>
      </c>
    </row>
    <row r="556" spans="1:5">
      <c r="A556" s="5">
        <v>46123</v>
      </c>
      <c r="C556">
        <v>4160</v>
      </c>
      <c r="D556" t="s">
        <v>8</v>
      </c>
      <c r="E556" s="8">
        <v>88750</v>
      </c>
    </row>
    <row r="557" spans="1:5">
      <c r="A557" s="5">
        <v>46123</v>
      </c>
      <c r="C557">
        <v>4160</v>
      </c>
      <c r="D557" t="s">
        <v>8</v>
      </c>
      <c r="E557" s="8">
        <v>135486</v>
      </c>
    </row>
    <row r="558" spans="1:5">
      <c r="A558" s="5">
        <v>46123</v>
      </c>
      <c r="C558">
        <v>4160</v>
      </c>
      <c r="D558" t="s">
        <v>8</v>
      </c>
      <c r="E558" s="8">
        <v>85864</v>
      </c>
    </row>
    <row r="559" spans="1:5">
      <c r="A559" s="5">
        <v>46123</v>
      </c>
      <c r="C559">
        <v>9124</v>
      </c>
      <c r="D559" t="s">
        <v>12</v>
      </c>
      <c r="E559" s="8">
        <v>296146</v>
      </c>
    </row>
    <row r="560" spans="1:5">
      <c r="A560" s="5">
        <v>46123</v>
      </c>
      <c r="C560">
        <v>9124</v>
      </c>
      <c r="D560" t="s">
        <v>12</v>
      </c>
      <c r="E560" s="8">
        <v>108438</v>
      </c>
    </row>
    <row r="561" spans="1:5">
      <c r="A561" s="5">
        <v>46123</v>
      </c>
      <c r="C561">
        <v>9124</v>
      </c>
      <c r="D561" t="s">
        <v>12</v>
      </c>
      <c r="E561" s="8">
        <v>220800</v>
      </c>
    </row>
    <row r="562" spans="1:5">
      <c r="A562" s="5">
        <v>46123</v>
      </c>
      <c r="C562">
        <v>9124</v>
      </c>
      <c r="D562" t="s">
        <v>12</v>
      </c>
      <c r="E562" s="8">
        <v>60000</v>
      </c>
    </row>
    <row r="563" spans="1:5">
      <c r="A563" s="5">
        <v>46123</v>
      </c>
      <c r="C563">
        <v>9124</v>
      </c>
      <c r="D563" t="s">
        <v>12</v>
      </c>
      <c r="E563" s="8">
        <v>370000</v>
      </c>
    </row>
    <row r="564" spans="1:5">
      <c r="A564" s="5">
        <v>46123</v>
      </c>
      <c r="C564">
        <v>9124</v>
      </c>
      <c r="D564" t="s">
        <v>12</v>
      </c>
      <c r="E564" s="8">
        <v>33200</v>
      </c>
    </row>
    <row r="565" spans="1:5">
      <c r="A565" s="5">
        <v>46123</v>
      </c>
      <c r="C565">
        <v>9124</v>
      </c>
      <c r="D565" t="s">
        <v>12</v>
      </c>
      <c r="E565" s="8">
        <v>313066</v>
      </c>
    </row>
    <row r="566" spans="1:5">
      <c r="A566" s="5">
        <v>46123</v>
      </c>
      <c r="C566">
        <v>9124</v>
      </c>
      <c r="D566" t="s">
        <v>12</v>
      </c>
      <c r="E566" s="8">
        <v>93300</v>
      </c>
    </row>
    <row r="567" spans="1:5">
      <c r="A567" s="5">
        <v>46123</v>
      </c>
      <c r="C567">
        <v>9124</v>
      </c>
      <c r="D567" t="s">
        <v>12</v>
      </c>
      <c r="E567" s="8">
        <v>32875</v>
      </c>
    </row>
    <row r="568" spans="1:5">
      <c r="A568" s="5">
        <v>46123</v>
      </c>
      <c r="C568">
        <v>9124</v>
      </c>
      <c r="D568" t="s">
        <v>12</v>
      </c>
      <c r="E568" s="8">
        <v>150819</v>
      </c>
    </row>
    <row r="569" spans="1:5">
      <c r="A569" s="6">
        <v>46122</v>
      </c>
      <c r="B569" s="7"/>
      <c r="C569" s="7">
        <v>2999</v>
      </c>
      <c r="D569" s="7" t="s">
        <v>13</v>
      </c>
      <c r="E569" s="7">
        <v>2254.91</v>
      </c>
    </row>
    <row r="570" spans="1:5">
      <c r="A570" s="5">
        <v>46122</v>
      </c>
      <c r="C570">
        <v>2142</v>
      </c>
      <c r="D570" t="s">
        <v>96</v>
      </c>
      <c r="E570" s="8">
        <v>776143</v>
      </c>
    </row>
    <row r="571" spans="1:5">
      <c r="A571" s="5">
        <v>46122</v>
      </c>
      <c r="C571">
        <v>2142</v>
      </c>
      <c r="D571" t="s">
        <v>97</v>
      </c>
      <c r="E571" s="8">
        <v>1053579</v>
      </c>
    </row>
    <row r="572" spans="1:5">
      <c r="A572" s="5">
        <v>46122</v>
      </c>
      <c r="C572">
        <v>4027</v>
      </c>
      <c r="D572" t="s">
        <v>98</v>
      </c>
      <c r="E572" s="8">
        <v>146930</v>
      </c>
    </row>
    <row r="573" spans="1:5">
      <c r="A573" s="5">
        <v>46122</v>
      </c>
      <c r="C573">
        <v>4027</v>
      </c>
      <c r="D573" t="s">
        <v>99</v>
      </c>
      <c r="E573" s="8">
        <v>36000</v>
      </c>
    </row>
    <row r="574" spans="1:5">
      <c r="A574" s="5">
        <v>46122</v>
      </c>
      <c r="C574">
        <v>4065</v>
      </c>
      <c r="D574" t="s">
        <v>100</v>
      </c>
      <c r="E574" s="8">
        <v>252000</v>
      </c>
    </row>
    <row r="575" spans="1:5">
      <c r="A575" s="5">
        <v>46122</v>
      </c>
      <c r="C575">
        <v>4065</v>
      </c>
      <c r="D575" t="s">
        <v>101</v>
      </c>
      <c r="E575" s="8">
        <v>249104</v>
      </c>
    </row>
    <row r="576" spans="1:5">
      <c r="A576" s="5">
        <v>46122</v>
      </c>
      <c r="C576">
        <v>4065</v>
      </c>
      <c r="D576" t="s">
        <v>66</v>
      </c>
      <c r="E576" s="8">
        <v>150000</v>
      </c>
    </row>
    <row r="577" spans="1:5">
      <c r="A577" s="5">
        <v>46122</v>
      </c>
      <c r="C577">
        <v>4160</v>
      </c>
      <c r="D577" t="s">
        <v>8</v>
      </c>
      <c r="E577" s="8">
        <v>780484</v>
      </c>
    </row>
    <row r="578" spans="1:5">
      <c r="A578" s="5">
        <v>46122</v>
      </c>
      <c r="C578">
        <v>4160</v>
      </c>
      <c r="D578" t="s">
        <v>8</v>
      </c>
      <c r="E578" s="8">
        <v>113897</v>
      </c>
    </row>
    <row r="579" spans="1:5">
      <c r="A579" s="5">
        <v>46122</v>
      </c>
      <c r="C579">
        <v>4160</v>
      </c>
      <c r="D579" t="s">
        <v>8</v>
      </c>
      <c r="E579" s="8">
        <v>123161</v>
      </c>
    </row>
    <row r="580" spans="1:5">
      <c r="A580" s="5">
        <v>46122</v>
      </c>
      <c r="C580">
        <v>4160</v>
      </c>
      <c r="D580" t="s">
        <v>8</v>
      </c>
      <c r="E580" s="8">
        <v>225987</v>
      </c>
    </row>
    <row r="581" spans="1:5">
      <c r="A581" s="5">
        <v>46122</v>
      </c>
      <c r="C581">
        <v>4160</v>
      </c>
      <c r="D581" t="s">
        <v>8</v>
      </c>
      <c r="E581" s="8">
        <v>151931</v>
      </c>
    </row>
    <row r="582" spans="1:5">
      <c r="A582" s="5">
        <v>46122</v>
      </c>
      <c r="C582">
        <v>4160</v>
      </c>
      <c r="D582" t="s">
        <v>8</v>
      </c>
      <c r="E582" s="8">
        <v>240585</v>
      </c>
    </row>
    <row r="583" spans="1:5">
      <c r="A583" s="5">
        <v>46122</v>
      </c>
      <c r="C583">
        <v>4160</v>
      </c>
      <c r="D583" t="s">
        <v>8</v>
      </c>
      <c r="E583" s="8">
        <v>42819</v>
      </c>
    </row>
    <row r="584" spans="1:5">
      <c r="A584" s="5">
        <v>46122</v>
      </c>
      <c r="C584">
        <v>4160</v>
      </c>
      <c r="D584" t="s">
        <v>8</v>
      </c>
      <c r="E584" s="8">
        <v>108057</v>
      </c>
    </row>
    <row r="585" spans="1:5">
      <c r="A585" s="5">
        <v>46122</v>
      </c>
      <c r="C585">
        <v>4160</v>
      </c>
      <c r="D585" t="s">
        <v>8</v>
      </c>
      <c r="E585" s="8">
        <v>162715</v>
      </c>
    </row>
    <row r="586" spans="1:5">
      <c r="A586" s="5">
        <v>46122</v>
      </c>
      <c r="C586">
        <v>4160</v>
      </c>
      <c r="D586" t="s">
        <v>8</v>
      </c>
      <c r="E586" s="8">
        <v>1134304</v>
      </c>
    </row>
    <row r="587" spans="1:5">
      <c r="A587" s="5">
        <v>46122</v>
      </c>
      <c r="C587">
        <v>4160</v>
      </c>
      <c r="D587" t="s">
        <v>8</v>
      </c>
      <c r="E587" s="8">
        <v>333121</v>
      </c>
    </row>
    <row r="588" spans="1:5">
      <c r="A588" s="5">
        <v>46122</v>
      </c>
      <c r="C588">
        <v>4160</v>
      </c>
      <c r="D588" t="s">
        <v>8</v>
      </c>
      <c r="E588" s="8">
        <v>162561</v>
      </c>
    </row>
    <row r="589" spans="1:5">
      <c r="A589" s="5">
        <v>46122</v>
      </c>
      <c r="C589">
        <v>4160</v>
      </c>
      <c r="D589" t="s">
        <v>8</v>
      </c>
      <c r="E589" s="8">
        <v>115100</v>
      </c>
    </row>
    <row r="590" spans="1:5">
      <c r="A590" s="5">
        <v>46122</v>
      </c>
      <c r="C590">
        <v>4160</v>
      </c>
      <c r="D590" t="s">
        <v>8</v>
      </c>
      <c r="E590" s="8">
        <v>76428</v>
      </c>
    </row>
    <row r="591" spans="1:5">
      <c r="A591" s="5">
        <v>46122</v>
      </c>
      <c r="C591">
        <v>9124</v>
      </c>
      <c r="D591" t="s">
        <v>12</v>
      </c>
      <c r="E591" s="8">
        <v>38800</v>
      </c>
    </row>
    <row r="592" spans="1:5">
      <c r="A592" s="5">
        <v>46122</v>
      </c>
      <c r="C592">
        <v>9124</v>
      </c>
      <c r="D592" t="s">
        <v>12</v>
      </c>
      <c r="E592" s="8">
        <v>367908</v>
      </c>
    </row>
    <row r="593" spans="1:5">
      <c r="A593" s="5">
        <v>46122</v>
      </c>
      <c r="C593">
        <v>9124</v>
      </c>
      <c r="D593" t="s">
        <v>12</v>
      </c>
      <c r="E593" s="8">
        <v>350700</v>
      </c>
    </row>
    <row r="594" spans="1:5">
      <c r="A594" s="5">
        <v>46122</v>
      </c>
      <c r="C594">
        <v>9124</v>
      </c>
      <c r="D594" t="s">
        <v>12</v>
      </c>
      <c r="E594" s="8">
        <v>182790</v>
      </c>
    </row>
    <row r="595" spans="1:5">
      <c r="A595" s="6">
        <v>46121</v>
      </c>
      <c r="B595" s="7"/>
      <c r="C595" s="7">
        <v>2999</v>
      </c>
      <c r="D595" s="7" t="s">
        <v>13</v>
      </c>
      <c r="E595" s="7">
        <v>2214.4899999999998</v>
      </c>
    </row>
    <row r="596" spans="1:5">
      <c r="A596" s="5">
        <v>46121</v>
      </c>
      <c r="C596">
        <v>862</v>
      </c>
      <c r="D596" t="s">
        <v>56</v>
      </c>
      <c r="E596">
        <v>-7590</v>
      </c>
    </row>
    <row r="597" spans="1:5">
      <c r="A597" s="5">
        <v>46121</v>
      </c>
      <c r="C597">
        <v>1160</v>
      </c>
      <c r="D597" t="s">
        <v>85</v>
      </c>
      <c r="E597">
        <v>-6000000</v>
      </c>
    </row>
    <row r="598" spans="1:5">
      <c r="A598" s="5">
        <v>46121</v>
      </c>
      <c r="C598">
        <v>1233</v>
      </c>
      <c r="D598" t="s">
        <v>14</v>
      </c>
      <c r="E598">
        <v>-144210</v>
      </c>
    </row>
    <row r="599" spans="1:5">
      <c r="A599" s="5">
        <v>46121</v>
      </c>
      <c r="C599">
        <v>1233</v>
      </c>
      <c r="D599" t="s">
        <v>14</v>
      </c>
      <c r="E599">
        <v>-227430</v>
      </c>
    </row>
    <row r="600" spans="1:5">
      <c r="A600" s="5">
        <v>46121</v>
      </c>
      <c r="C600">
        <v>1371</v>
      </c>
      <c r="D600" t="s">
        <v>15</v>
      </c>
      <c r="E600">
        <v>-11970</v>
      </c>
    </row>
    <row r="601" spans="1:5">
      <c r="A601" s="5">
        <v>46121</v>
      </c>
      <c r="C601">
        <v>2142</v>
      </c>
      <c r="D601" t="s">
        <v>86</v>
      </c>
      <c r="E601" s="8">
        <v>600699</v>
      </c>
    </row>
    <row r="602" spans="1:5">
      <c r="A602" s="5">
        <v>46121</v>
      </c>
      <c r="C602">
        <v>2142</v>
      </c>
      <c r="D602" t="s">
        <v>64</v>
      </c>
      <c r="E602" s="8">
        <v>556420</v>
      </c>
    </row>
    <row r="603" spans="1:5">
      <c r="A603" s="5">
        <v>46121</v>
      </c>
      <c r="C603">
        <v>2142</v>
      </c>
      <c r="D603" t="s">
        <v>16</v>
      </c>
      <c r="E603" s="8">
        <v>337707</v>
      </c>
    </row>
    <row r="604" spans="1:5">
      <c r="A604" s="5">
        <v>46121</v>
      </c>
      <c r="C604">
        <v>2142</v>
      </c>
      <c r="D604" t="s">
        <v>43</v>
      </c>
      <c r="E604" s="8">
        <v>374983</v>
      </c>
    </row>
    <row r="605" spans="1:5">
      <c r="A605" s="5">
        <v>46121</v>
      </c>
      <c r="C605">
        <v>3339</v>
      </c>
      <c r="D605" t="s">
        <v>9</v>
      </c>
      <c r="E605">
        <v>-96626.3</v>
      </c>
    </row>
    <row r="606" spans="1:5">
      <c r="A606" s="5">
        <v>46121</v>
      </c>
      <c r="C606">
        <v>4065</v>
      </c>
      <c r="D606" t="s">
        <v>87</v>
      </c>
      <c r="E606" s="8">
        <v>215294</v>
      </c>
    </row>
    <row r="607" spans="1:5">
      <c r="A607" s="5">
        <v>46121</v>
      </c>
      <c r="C607">
        <v>4065</v>
      </c>
      <c r="D607" t="s">
        <v>88</v>
      </c>
      <c r="E607" s="8">
        <v>217202</v>
      </c>
    </row>
    <row r="608" spans="1:5">
      <c r="A608" s="5">
        <v>46121</v>
      </c>
      <c r="C608">
        <v>4065</v>
      </c>
      <c r="D608" t="s">
        <v>89</v>
      </c>
      <c r="E608" s="8">
        <v>178696</v>
      </c>
    </row>
    <row r="609" spans="1:5">
      <c r="A609" s="5">
        <v>46121</v>
      </c>
      <c r="C609">
        <v>4160</v>
      </c>
      <c r="D609" t="s">
        <v>8</v>
      </c>
      <c r="E609" s="8">
        <v>78742</v>
      </c>
    </row>
    <row r="610" spans="1:5">
      <c r="A610" s="5">
        <v>46121</v>
      </c>
      <c r="C610">
        <v>4160</v>
      </c>
      <c r="D610" t="s">
        <v>8</v>
      </c>
      <c r="E610" s="8">
        <v>99379</v>
      </c>
    </row>
    <row r="611" spans="1:5">
      <c r="A611" s="5">
        <v>46121</v>
      </c>
      <c r="C611">
        <v>4160</v>
      </c>
      <c r="D611" t="s">
        <v>8</v>
      </c>
      <c r="E611" s="8">
        <v>1870600</v>
      </c>
    </row>
    <row r="612" spans="1:5">
      <c r="A612" s="5">
        <v>46121</v>
      </c>
      <c r="C612">
        <v>4160</v>
      </c>
      <c r="D612" t="s">
        <v>8</v>
      </c>
      <c r="E612" s="8">
        <v>273416</v>
      </c>
    </row>
    <row r="613" spans="1:5">
      <c r="A613" s="5">
        <v>46121</v>
      </c>
      <c r="C613">
        <v>4160</v>
      </c>
      <c r="D613" t="s">
        <v>8</v>
      </c>
      <c r="E613" s="8">
        <v>25964</v>
      </c>
    </row>
    <row r="614" spans="1:5">
      <c r="A614" s="5">
        <v>46121</v>
      </c>
      <c r="C614">
        <v>4160</v>
      </c>
      <c r="D614" t="s">
        <v>8</v>
      </c>
      <c r="E614" s="8">
        <v>331543</v>
      </c>
    </row>
    <row r="615" spans="1:5">
      <c r="A615" s="5">
        <v>46121</v>
      </c>
      <c r="C615">
        <v>4160</v>
      </c>
      <c r="D615" t="s">
        <v>8</v>
      </c>
      <c r="E615" s="8">
        <v>156757</v>
      </c>
    </row>
    <row r="616" spans="1:5">
      <c r="A616" s="5">
        <v>46121</v>
      </c>
      <c r="C616">
        <v>4160</v>
      </c>
      <c r="D616" t="s">
        <v>8</v>
      </c>
      <c r="E616" s="8">
        <v>159609</v>
      </c>
    </row>
    <row r="617" spans="1:5">
      <c r="A617" s="5">
        <v>46121</v>
      </c>
      <c r="C617">
        <v>4511</v>
      </c>
      <c r="D617" t="s">
        <v>31</v>
      </c>
      <c r="E617" s="8">
        <v>395300</v>
      </c>
    </row>
    <row r="618" spans="1:5">
      <c r="A618" s="5">
        <v>46121</v>
      </c>
      <c r="C618">
        <v>5376</v>
      </c>
      <c r="D618" t="s">
        <v>90</v>
      </c>
      <c r="E618" s="8">
        <v>1596064</v>
      </c>
    </row>
    <row r="619" spans="1:5">
      <c r="A619" s="5">
        <v>46121</v>
      </c>
      <c r="C619">
        <v>5376</v>
      </c>
      <c r="D619" t="s">
        <v>91</v>
      </c>
      <c r="E619" s="8">
        <v>217497</v>
      </c>
    </row>
    <row r="620" spans="1:5">
      <c r="A620" s="5">
        <v>46121</v>
      </c>
      <c r="C620">
        <v>7513</v>
      </c>
      <c r="D620" t="s">
        <v>92</v>
      </c>
      <c r="E620">
        <v>-12885100</v>
      </c>
    </row>
    <row r="621" spans="1:5">
      <c r="A621" s="5">
        <v>46121</v>
      </c>
      <c r="C621">
        <v>8162</v>
      </c>
      <c r="D621" t="s">
        <v>93</v>
      </c>
      <c r="E621">
        <v>-1960200</v>
      </c>
    </row>
    <row r="622" spans="1:5">
      <c r="A622" s="5">
        <v>46121</v>
      </c>
      <c r="C622">
        <v>8162</v>
      </c>
      <c r="D622" t="s">
        <v>94</v>
      </c>
      <c r="E622">
        <v>-1444000</v>
      </c>
    </row>
    <row r="623" spans="1:5">
      <c r="A623" s="5">
        <v>46121</v>
      </c>
      <c r="C623">
        <v>8162</v>
      </c>
      <c r="D623" t="s">
        <v>95</v>
      </c>
      <c r="E623">
        <v>-1844000</v>
      </c>
    </row>
    <row r="624" spans="1:5">
      <c r="A624" s="5">
        <v>46121</v>
      </c>
      <c r="C624">
        <v>9124</v>
      </c>
      <c r="D624" t="s">
        <v>12</v>
      </c>
      <c r="E624" s="8">
        <v>137133</v>
      </c>
    </row>
    <row r="625" spans="1:5">
      <c r="A625" s="5">
        <v>46121</v>
      </c>
      <c r="C625">
        <v>9124</v>
      </c>
      <c r="D625" t="s">
        <v>12</v>
      </c>
      <c r="E625" s="8">
        <v>106302</v>
      </c>
    </row>
    <row r="626" spans="1:5">
      <c r="A626" s="5">
        <v>46121</v>
      </c>
      <c r="C626">
        <v>9124</v>
      </c>
      <c r="D626" t="s">
        <v>12</v>
      </c>
      <c r="E626" s="8">
        <v>67619</v>
      </c>
    </row>
    <row r="627" spans="1:5">
      <c r="A627" s="5">
        <v>46121</v>
      </c>
      <c r="C627">
        <v>9124</v>
      </c>
      <c r="D627" t="s">
        <v>12</v>
      </c>
      <c r="E627" s="8">
        <v>427065</v>
      </c>
    </row>
    <row r="628" spans="1:5">
      <c r="A628" s="6">
        <v>46120</v>
      </c>
      <c r="B628" s="7"/>
      <c r="C628" s="7">
        <v>2999</v>
      </c>
      <c r="D628" s="7" t="s">
        <v>13</v>
      </c>
      <c r="E628" s="7">
        <v>2301.21</v>
      </c>
    </row>
    <row r="629" spans="1:5">
      <c r="A629" s="5">
        <v>46120</v>
      </c>
      <c r="C629">
        <v>1160</v>
      </c>
      <c r="D629" t="s">
        <v>76</v>
      </c>
      <c r="E629">
        <v>-2806650</v>
      </c>
    </row>
    <row r="630" spans="1:5">
      <c r="A630" s="5">
        <v>46120</v>
      </c>
      <c r="C630">
        <v>1160</v>
      </c>
      <c r="D630" t="s">
        <v>77</v>
      </c>
      <c r="E630">
        <v>-410648</v>
      </c>
    </row>
    <row r="631" spans="1:5">
      <c r="A631" s="5">
        <v>46120</v>
      </c>
      <c r="C631">
        <v>1160</v>
      </c>
      <c r="D631" t="s">
        <v>38</v>
      </c>
      <c r="E631">
        <v>-371250</v>
      </c>
    </row>
    <row r="632" spans="1:5">
      <c r="A632" s="5">
        <v>46120</v>
      </c>
      <c r="C632">
        <v>1233</v>
      </c>
      <c r="D632" t="s">
        <v>14</v>
      </c>
      <c r="E632">
        <v>-75810</v>
      </c>
    </row>
    <row r="633" spans="1:5">
      <c r="A633" s="5">
        <v>46120</v>
      </c>
      <c r="C633">
        <v>1233</v>
      </c>
      <c r="D633" t="s">
        <v>14</v>
      </c>
      <c r="E633">
        <v>-151620</v>
      </c>
    </row>
    <row r="634" spans="1:5">
      <c r="A634" s="5">
        <v>46120</v>
      </c>
      <c r="C634">
        <v>1233</v>
      </c>
      <c r="D634" t="s">
        <v>14</v>
      </c>
      <c r="E634">
        <v>-227430</v>
      </c>
    </row>
    <row r="635" spans="1:5">
      <c r="A635" s="5">
        <v>46120</v>
      </c>
      <c r="C635">
        <v>1371</v>
      </c>
      <c r="D635" t="s">
        <v>15</v>
      </c>
      <c r="E635">
        <v>-3990</v>
      </c>
    </row>
    <row r="636" spans="1:5">
      <c r="A636" s="5">
        <v>46120</v>
      </c>
      <c r="C636">
        <v>1371</v>
      </c>
      <c r="D636" t="s">
        <v>15</v>
      </c>
      <c r="E636">
        <v>-3990</v>
      </c>
    </row>
    <row r="637" spans="1:5">
      <c r="A637" s="5">
        <v>46120</v>
      </c>
      <c r="C637">
        <v>1371</v>
      </c>
      <c r="D637" t="s">
        <v>15</v>
      </c>
      <c r="E637">
        <v>-3990</v>
      </c>
    </row>
    <row r="638" spans="1:5">
      <c r="A638" s="5">
        <v>46120</v>
      </c>
      <c r="C638">
        <v>3339</v>
      </c>
      <c r="D638" t="s">
        <v>9</v>
      </c>
      <c r="E638">
        <v>-27897.11</v>
      </c>
    </row>
    <row r="639" spans="1:5">
      <c r="A639" s="5">
        <v>46120</v>
      </c>
      <c r="C639">
        <v>4065</v>
      </c>
      <c r="D639" t="s">
        <v>66</v>
      </c>
      <c r="E639" s="8">
        <v>120000</v>
      </c>
    </row>
    <row r="640" spans="1:5">
      <c r="A640" s="5">
        <v>46120</v>
      </c>
      <c r="C640">
        <v>4065</v>
      </c>
      <c r="D640" t="s">
        <v>78</v>
      </c>
      <c r="E640" s="8">
        <v>376454</v>
      </c>
    </row>
    <row r="641" spans="1:5">
      <c r="A641" s="5">
        <v>46120</v>
      </c>
      <c r="C641">
        <v>4160</v>
      </c>
      <c r="D641" t="s">
        <v>8</v>
      </c>
      <c r="E641" s="8">
        <v>177243</v>
      </c>
    </row>
    <row r="642" spans="1:5">
      <c r="A642" s="5">
        <v>46120</v>
      </c>
      <c r="C642">
        <v>4160</v>
      </c>
      <c r="D642" t="s">
        <v>8</v>
      </c>
      <c r="E642" s="8">
        <v>150000</v>
      </c>
    </row>
    <row r="643" spans="1:5">
      <c r="A643" s="5">
        <v>46120</v>
      </c>
      <c r="C643">
        <v>4160</v>
      </c>
      <c r="D643" t="s">
        <v>8</v>
      </c>
      <c r="E643" s="8">
        <v>174960</v>
      </c>
    </row>
    <row r="644" spans="1:5">
      <c r="A644" s="5">
        <v>46120</v>
      </c>
      <c r="C644">
        <v>4160</v>
      </c>
      <c r="D644" t="s">
        <v>8</v>
      </c>
      <c r="E644" s="8">
        <v>268623</v>
      </c>
    </row>
    <row r="645" spans="1:5">
      <c r="A645" s="5">
        <v>46120</v>
      </c>
      <c r="C645">
        <v>4160</v>
      </c>
      <c r="D645" t="s">
        <v>8</v>
      </c>
      <c r="E645" s="8">
        <v>129800</v>
      </c>
    </row>
    <row r="646" spans="1:5">
      <c r="A646" s="5">
        <v>46120</v>
      </c>
      <c r="C646">
        <v>4160</v>
      </c>
      <c r="D646" t="s">
        <v>8</v>
      </c>
      <c r="E646" s="8">
        <v>68042</v>
      </c>
    </row>
    <row r="647" spans="1:5">
      <c r="A647" s="5">
        <v>46120</v>
      </c>
      <c r="C647">
        <v>4160</v>
      </c>
      <c r="D647" t="s">
        <v>8</v>
      </c>
      <c r="E647" s="8">
        <v>420357</v>
      </c>
    </row>
    <row r="648" spans="1:5">
      <c r="A648" s="5">
        <v>46120</v>
      </c>
      <c r="C648">
        <v>4160</v>
      </c>
      <c r="D648" t="s">
        <v>8</v>
      </c>
      <c r="E648" s="8">
        <v>315383</v>
      </c>
    </row>
    <row r="649" spans="1:5">
      <c r="A649" s="5">
        <v>46120</v>
      </c>
      <c r="C649">
        <v>4160</v>
      </c>
      <c r="D649" t="s">
        <v>8</v>
      </c>
      <c r="E649" s="8">
        <v>98778</v>
      </c>
    </row>
    <row r="650" spans="1:5">
      <c r="A650" s="5">
        <v>46120</v>
      </c>
      <c r="C650">
        <v>4160</v>
      </c>
      <c r="D650" t="s">
        <v>8</v>
      </c>
      <c r="E650" s="8">
        <v>256446</v>
      </c>
    </row>
    <row r="651" spans="1:5">
      <c r="A651" s="5">
        <v>46120</v>
      </c>
      <c r="C651">
        <v>4160</v>
      </c>
      <c r="D651" t="s">
        <v>8</v>
      </c>
      <c r="E651" s="8">
        <v>346823</v>
      </c>
    </row>
    <row r="652" spans="1:5">
      <c r="A652" s="5">
        <v>46120</v>
      </c>
      <c r="C652">
        <v>4160</v>
      </c>
      <c r="D652" t="s">
        <v>8</v>
      </c>
      <c r="E652" s="8">
        <v>97577</v>
      </c>
    </row>
    <row r="653" spans="1:5">
      <c r="A653" s="5">
        <v>46120</v>
      </c>
      <c r="C653">
        <v>4160</v>
      </c>
      <c r="D653" t="s">
        <v>8</v>
      </c>
      <c r="E653" s="8">
        <v>499279</v>
      </c>
    </row>
    <row r="654" spans="1:5">
      <c r="A654" s="5">
        <v>46120</v>
      </c>
      <c r="C654">
        <v>5376</v>
      </c>
      <c r="D654" t="s">
        <v>55</v>
      </c>
      <c r="E654" s="8">
        <v>300342</v>
      </c>
    </row>
    <row r="655" spans="1:5">
      <c r="A655" s="5">
        <v>46120</v>
      </c>
      <c r="C655">
        <v>5376</v>
      </c>
      <c r="D655" t="s">
        <v>79</v>
      </c>
      <c r="E655" s="8">
        <v>583367</v>
      </c>
    </row>
    <row r="656" spans="1:5">
      <c r="A656" s="5">
        <v>46120</v>
      </c>
      <c r="C656">
        <v>7513</v>
      </c>
      <c r="D656" t="s">
        <v>80</v>
      </c>
      <c r="E656">
        <v>-148900</v>
      </c>
    </row>
    <row r="657" spans="1:5">
      <c r="A657" s="5">
        <v>46120</v>
      </c>
      <c r="C657">
        <v>8162</v>
      </c>
      <c r="D657" t="s">
        <v>81</v>
      </c>
      <c r="E657">
        <v>-2363130</v>
      </c>
    </row>
    <row r="658" spans="1:5">
      <c r="A658" s="5">
        <v>46120</v>
      </c>
      <c r="C658">
        <v>8162</v>
      </c>
      <c r="D658" t="s">
        <v>82</v>
      </c>
      <c r="E658">
        <v>-330000</v>
      </c>
    </row>
    <row r="659" spans="1:5">
      <c r="A659" s="5">
        <v>46120</v>
      </c>
      <c r="C659">
        <v>8162</v>
      </c>
      <c r="D659" t="s">
        <v>83</v>
      </c>
      <c r="E659">
        <v>-515211</v>
      </c>
    </row>
    <row r="660" spans="1:5">
      <c r="A660" s="5">
        <v>46120</v>
      </c>
      <c r="C660">
        <v>9124</v>
      </c>
      <c r="D660" t="s">
        <v>12</v>
      </c>
      <c r="E660" s="8">
        <v>124700</v>
      </c>
    </row>
    <row r="661" spans="1:5">
      <c r="A661" s="5">
        <v>46120</v>
      </c>
      <c r="C661">
        <v>9954</v>
      </c>
      <c r="D661" t="s">
        <v>30</v>
      </c>
      <c r="E661">
        <v>-7980</v>
      </c>
    </row>
    <row r="662" spans="1:5">
      <c r="A662" s="5">
        <v>46120</v>
      </c>
      <c r="C662">
        <v>9954</v>
      </c>
      <c r="D662" t="s">
        <v>30</v>
      </c>
      <c r="E662">
        <v>-3990</v>
      </c>
    </row>
    <row r="663" spans="1:5">
      <c r="A663" s="6">
        <v>46119</v>
      </c>
      <c r="B663" s="7"/>
      <c r="C663" s="7">
        <v>2999</v>
      </c>
      <c r="D663" s="7" t="s">
        <v>13</v>
      </c>
      <c r="E663" s="7">
        <v>2314.86</v>
      </c>
    </row>
    <row r="664" spans="1:5">
      <c r="A664" s="5">
        <v>46119</v>
      </c>
      <c r="C664">
        <v>862</v>
      </c>
      <c r="D664" t="s">
        <v>56</v>
      </c>
      <c r="E664">
        <v>-7590</v>
      </c>
    </row>
    <row r="665" spans="1:5">
      <c r="A665" s="5">
        <v>46119</v>
      </c>
      <c r="C665">
        <v>1160</v>
      </c>
      <c r="D665" t="s">
        <v>57</v>
      </c>
      <c r="E665">
        <v>-700000</v>
      </c>
    </row>
    <row r="666" spans="1:5">
      <c r="A666" s="5">
        <v>46119</v>
      </c>
      <c r="C666">
        <v>1160</v>
      </c>
      <c r="D666" t="s">
        <v>58</v>
      </c>
      <c r="E666">
        <v>-1500000</v>
      </c>
    </row>
    <row r="667" spans="1:5">
      <c r="A667" s="5">
        <v>46119</v>
      </c>
      <c r="C667">
        <v>1160</v>
      </c>
      <c r="D667" t="s">
        <v>59</v>
      </c>
      <c r="E667">
        <v>-7204737</v>
      </c>
    </row>
    <row r="668" spans="1:5">
      <c r="A668" s="5">
        <v>46119</v>
      </c>
      <c r="C668">
        <v>1160</v>
      </c>
      <c r="D668" t="s">
        <v>60</v>
      </c>
      <c r="E668">
        <v>-410648</v>
      </c>
    </row>
    <row r="669" spans="1:5">
      <c r="A669" s="5">
        <v>46119</v>
      </c>
      <c r="C669">
        <v>1233</v>
      </c>
      <c r="D669" t="s">
        <v>14</v>
      </c>
      <c r="E669">
        <v>-144210</v>
      </c>
    </row>
    <row r="670" spans="1:5">
      <c r="A670" s="5">
        <v>46119</v>
      </c>
      <c r="C670">
        <v>1233</v>
      </c>
      <c r="D670" t="s">
        <v>14</v>
      </c>
      <c r="E670">
        <v>-75810</v>
      </c>
    </row>
    <row r="671" spans="1:5">
      <c r="A671" s="5">
        <v>46119</v>
      </c>
      <c r="C671">
        <v>1233</v>
      </c>
      <c r="D671" t="s">
        <v>14</v>
      </c>
      <c r="E671">
        <v>-227430</v>
      </c>
    </row>
    <row r="672" spans="1:5">
      <c r="A672" s="5">
        <v>46119</v>
      </c>
      <c r="C672">
        <v>1233</v>
      </c>
      <c r="D672" t="s">
        <v>14</v>
      </c>
      <c r="E672">
        <v>-75810</v>
      </c>
    </row>
    <row r="673" spans="1:7">
      <c r="A673" s="5">
        <v>46119</v>
      </c>
      <c r="C673">
        <v>1371</v>
      </c>
      <c r="D673" t="s">
        <v>15</v>
      </c>
      <c r="E673">
        <v>-3990</v>
      </c>
    </row>
    <row r="674" spans="1:7">
      <c r="A674" s="5">
        <v>46119</v>
      </c>
      <c r="C674">
        <v>1371</v>
      </c>
      <c r="D674" t="s">
        <v>15</v>
      </c>
      <c r="E674">
        <v>-3990</v>
      </c>
    </row>
    <row r="675" spans="1:7">
      <c r="A675" s="5">
        <v>46119</v>
      </c>
      <c r="C675">
        <v>2106</v>
      </c>
      <c r="D675" t="s">
        <v>61</v>
      </c>
      <c r="E675" s="14">
        <v>410648</v>
      </c>
      <c r="F675" s="14" t="s">
        <v>84</v>
      </c>
      <c r="G675" s="13"/>
    </row>
    <row r="676" spans="1:7">
      <c r="A676" s="5">
        <v>46119</v>
      </c>
      <c r="C676">
        <v>2142</v>
      </c>
      <c r="D676" t="s">
        <v>62</v>
      </c>
      <c r="E676" s="8">
        <v>245300</v>
      </c>
    </row>
    <row r="677" spans="1:7">
      <c r="A677" s="5">
        <v>46119</v>
      </c>
      <c r="C677">
        <v>2142</v>
      </c>
      <c r="D677" t="s">
        <v>63</v>
      </c>
      <c r="E677" s="8">
        <v>279171</v>
      </c>
    </row>
    <row r="678" spans="1:7">
      <c r="A678" s="5">
        <v>46119</v>
      </c>
      <c r="C678">
        <v>2142</v>
      </c>
      <c r="D678" t="s">
        <v>64</v>
      </c>
      <c r="E678" s="8">
        <v>1045035</v>
      </c>
    </row>
    <row r="679" spans="1:7">
      <c r="A679" s="5">
        <v>46119</v>
      </c>
      <c r="C679">
        <v>3339</v>
      </c>
      <c r="D679" t="s">
        <v>9</v>
      </c>
      <c r="E679">
        <v>-47758.14</v>
      </c>
    </row>
    <row r="680" spans="1:7">
      <c r="A680" s="5">
        <v>46119</v>
      </c>
      <c r="C680">
        <v>4065</v>
      </c>
      <c r="D680" t="s">
        <v>65</v>
      </c>
      <c r="E680" s="8">
        <v>298676</v>
      </c>
    </row>
    <row r="681" spans="1:7">
      <c r="A681" s="5">
        <v>46119</v>
      </c>
      <c r="C681">
        <v>4065</v>
      </c>
      <c r="D681" t="s">
        <v>66</v>
      </c>
      <c r="E681" s="8">
        <v>80000</v>
      </c>
    </row>
    <row r="682" spans="1:7">
      <c r="A682" s="5">
        <v>46119</v>
      </c>
      <c r="C682">
        <v>4160</v>
      </c>
      <c r="D682" t="s">
        <v>8</v>
      </c>
      <c r="E682" s="8">
        <v>91716</v>
      </c>
    </row>
    <row r="683" spans="1:7">
      <c r="A683" s="5">
        <v>46119</v>
      </c>
      <c r="C683">
        <v>4160</v>
      </c>
      <c r="D683" t="s">
        <v>8</v>
      </c>
      <c r="E683" s="8">
        <v>73725</v>
      </c>
    </row>
    <row r="684" spans="1:7">
      <c r="A684" s="5">
        <v>46119</v>
      </c>
      <c r="C684">
        <v>4160</v>
      </c>
      <c r="D684" t="s">
        <v>8</v>
      </c>
      <c r="E684" s="8">
        <v>143689</v>
      </c>
    </row>
    <row r="685" spans="1:7">
      <c r="A685" s="5">
        <v>46119</v>
      </c>
      <c r="C685">
        <v>4160</v>
      </c>
      <c r="D685" t="s">
        <v>8</v>
      </c>
      <c r="E685" s="8">
        <v>88700</v>
      </c>
    </row>
    <row r="686" spans="1:7">
      <c r="A686" s="5">
        <v>46119</v>
      </c>
      <c r="C686">
        <v>4160</v>
      </c>
      <c r="D686" t="s">
        <v>8</v>
      </c>
      <c r="E686" s="8">
        <v>50000</v>
      </c>
    </row>
    <row r="687" spans="1:7">
      <c r="A687" s="5">
        <v>46119</v>
      </c>
      <c r="C687">
        <v>4160</v>
      </c>
      <c r="D687" t="s">
        <v>8</v>
      </c>
      <c r="E687" s="8">
        <v>364938</v>
      </c>
    </row>
    <row r="688" spans="1:7">
      <c r="A688" s="5">
        <v>46119</v>
      </c>
      <c r="C688">
        <v>4160</v>
      </c>
      <c r="D688" t="s">
        <v>8</v>
      </c>
      <c r="E688" s="8">
        <v>225568</v>
      </c>
    </row>
    <row r="689" spans="1:5">
      <c r="A689" s="5">
        <v>46119</v>
      </c>
      <c r="C689">
        <v>4160</v>
      </c>
      <c r="D689" t="s">
        <v>8</v>
      </c>
      <c r="E689" s="8">
        <v>1177438</v>
      </c>
    </row>
    <row r="690" spans="1:5">
      <c r="A690" s="5">
        <v>46119</v>
      </c>
      <c r="C690">
        <v>4160</v>
      </c>
      <c r="D690" t="s">
        <v>8</v>
      </c>
      <c r="E690" s="8">
        <v>278417</v>
      </c>
    </row>
    <row r="691" spans="1:5">
      <c r="A691" s="5">
        <v>46119</v>
      </c>
      <c r="C691">
        <v>4160</v>
      </c>
      <c r="D691" t="s">
        <v>8</v>
      </c>
      <c r="E691" s="8">
        <v>1768116</v>
      </c>
    </row>
    <row r="692" spans="1:5">
      <c r="A692" s="5">
        <v>46119</v>
      </c>
      <c r="C692">
        <v>4160</v>
      </c>
      <c r="D692" t="s">
        <v>8</v>
      </c>
      <c r="E692" s="8">
        <v>166986</v>
      </c>
    </row>
    <row r="693" spans="1:5">
      <c r="A693" s="5">
        <v>46119</v>
      </c>
      <c r="C693">
        <v>4160</v>
      </c>
      <c r="D693" t="s">
        <v>8</v>
      </c>
      <c r="E693" s="8">
        <v>621493</v>
      </c>
    </row>
    <row r="694" spans="1:5">
      <c r="A694" s="5">
        <v>46119</v>
      </c>
      <c r="C694">
        <v>4160</v>
      </c>
      <c r="D694" t="s">
        <v>8</v>
      </c>
      <c r="E694" s="8">
        <v>633038</v>
      </c>
    </row>
    <row r="695" spans="1:5">
      <c r="A695" s="5">
        <v>46119</v>
      </c>
      <c r="C695">
        <v>4160</v>
      </c>
      <c r="D695" t="s">
        <v>8</v>
      </c>
      <c r="E695" s="8">
        <v>460000</v>
      </c>
    </row>
    <row r="696" spans="1:5">
      <c r="A696" s="5">
        <v>46119</v>
      </c>
      <c r="C696">
        <v>4160</v>
      </c>
      <c r="D696" t="s">
        <v>8</v>
      </c>
      <c r="E696" s="8">
        <v>65607</v>
      </c>
    </row>
    <row r="697" spans="1:5">
      <c r="A697" s="5">
        <v>46119</v>
      </c>
      <c r="C697">
        <v>4160</v>
      </c>
      <c r="D697" t="s">
        <v>8</v>
      </c>
      <c r="E697" s="8">
        <v>343000</v>
      </c>
    </row>
    <row r="698" spans="1:5">
      <c r="A698" s="5">
        <v>46119</v>
      </c>
      <c r="C698">
        <v>4511</v>
      </c>
      <c r="D698" t="s">
        <v>31</v>
      </c>
      <c r="E698" s="8">
        <v>132000</v>
      </c>
    </row>
    <row r="699" spans="1:5">
      <c r="A699" s="5">
        <v>46119</v>
      </c>
      <c r="C699">
        <v>4511</v>
      </c>
      <c r="D699" t="s">
        <v>31</v>
      </c>
      <c r="E699" s="8">
        <v>143350</v>
      </c>
    </row>
    <row r="700" spans="1:5">
      <c r="A700" s="5">
        <v>46119</v>
      </c>
      <c r="C700">
        <v>5334</v>
      </c>
      <c r="D700" t="s">
        <v>67</v>
      </c>
      <c r="E700">
        <v>-2500</v>
      </c>
    </row>
    <row r="701" spans="1:5">
      <c r="A701" s="5">
        <v>46119</v>
      </c>
      <c r="C701">
        <v>5340</v>
      </c>
      <c r="D701" t="s">
        <v>68</v>
      </c>
      <c r="E701">
        <v>-475</v>
      </c>
    </row>
    <row r="702" spans="1:5">
      <c r="A702" s="5">
        <v>46119</v>
      </c>
      <c r="C702">
        <v>5376</v>
      </c>
      <c r="D702" t="s">
        <v>48</v>
      </c>
      <c r="E702" s="8">
        <v>630242.18999999994</v>
      </c>
    </row>
    <row r="703" spans="1:5">
      <c r="A703" s="5">
        <v>46119</v>
      </c>
      <c r="C703">
        <v>5376</v>
      </c>
      <c r="D703" t="s">
        <v>69</v>
      </c>
      <c r="E703" s="8">
        <v>191377</v>
      </c>
    </row>
    <row r="704" spans="1:5">
      <c r="A704" s="5">
        <v>46119</v>
      </c>
      <c r="C704">
        <v>5376</v>
      </c>
      <c r="D704" t="s">
        <v>70</v>
      </c>
      <c r="E704" s="8">
        <v>3257149</v>
      </c>
    </row>
    <row r="705" spans="1:5">
      <c r="A705" s="5">
        <v>46119</v>
      </c>
      <c r="C705">
        <v>5376</v>
      </c>
      <c r="D705" t="s">
        <v>71</v>
      </c>
      <c r="E705" s="8">
        <v>3756596</v>
      </c>
    </row>
    <row r="706" spans="1:5">
      <c r="A706" s="5">
        <v>46119</v>
      </c>
      <c r="C706">
        <v>5376</v>
      </c>
      <c r="D706" t="s">
        <v>72</v>
      </c>
      <c r="E706" s="8">
        <v>44490</v>
      </c>
    </row>
    <row r="707" spans="1:5">
      <c r="A707" s="5">
        <v>46119</v>
      </c>
      <c r="C707">
        <v>5376</v>
      </c>
      <c r="D707" t="s">
        <v>73</v>
      </c>
      <c r="E707" s="8">
        <v>3267298</v>
      </c>
    </row>
    <row r="708" spans="1:5">
      <c r="A708" s="5">
        <v>46119</v>
      </c>
      <c r="C708">
        <v>8162</v>
      </c>
      <c r="D708" t="s">
        <v>74</v>
      </c>
      <c r="E708">
        <v>-2255051</v>
      </c>
    </row>
    <row r="709" spans="1:5">
      <c r="A709" s="5">
        <v>46119</v>
      </c>
      <c r="C709">
        <v>8162</v>
      </c>
      <c r="D709" t="s">
        <v>75</v>
      </c>
      <c r="E709">
        <v>-244000</v>
      </c>
    </row>
    <row r="710" spans="1:5">
      <c r="A710" s="5">
        <v>46119</v>
      </c>
      <c r="C710">
        <v>9124</v>
      </c>
      <c r="D710" t="s">
        <v>12</v>
      </c>
      <c r="E710" s="8">
        <v>543221</v>
      </c>
    </row>
    <row r="711" spans="1:5">
      <c r="A711" s="5">
        <v>46119</v>
      </c>
      <c r="C711">
        <v>9124</v>
      </c>
      <c r="D711" t="s">
        <v>12</v>
      </c>
      <c r="E711" s="8">
        <v>70400</v>
      </c>
    </row>
    <row r="712" spans="1:5">
      <c r="A712" s="5">
        <v>46119</v>
      </c>
      <c r="C712">
        <v>9124</v>
      </c>
      <c r="D712" t="s">
        <v>12</v>
      </c>
      <c r="E712" s="8">
        <v>60000</v>
      </c>
    </row>
    <row r="713" spans="1:5">
      <c r="A713" s="5">
        <v>46119</v>
      </c>
      <c r="C713">
        <v>9124</v>
      </c>
      <c r="D713" t="s">
        <v>12</v>
      </c>
      <c r="E713" s="8">
        <v>579775</v>
      </c>
    </row>
    <row r="714" spans="1:5">
      <c r="A714" s="5">
        <v>46119</v>
      </c>
      <c r="C714">
        <v>9124</v>
      </c>
      <c r="D714" t="s">
        <v>12</v>
      </c>
      <c r="E714" s="8">
        <v>76253</v>
      </c>
    </row>
    <row r="715" spans="1:5">
      <c r="A715" s="5">
        <v>46119</v>
      </c>
      <c r="C715">
        <v>9124</v>
      </c>
      <c r="D715" t="s">
        <v>12</v>
      </c>
      <c r="E715" s="8">
        <v>161170</v>
      </c>
    </row>
    <row r="716" spans="1:5">
      <c r="A716" s="5">
        <v>46119</v>
      </c>
      <c r="C716">
        <v>9954</v>
      </c>
      <c r="D716" t="s">
        <v>30</v>
      </c>
      <c r="E716">
        <v>-3990</v>
      </c>
    </row>
    <row r="717" spans="1:5">
      <c r="A717" s="5">
        <v>46119</v>
      </c>
      <c r="C717">
        <v>9954</v>
      </c>
      <c r="D717" t="s">
        <v>30</v>
      </c>
      <c r="E717">
        <v>-7980</v>
      </c>
    </row>
    <row r="718" spans="1:5">
      <c r="A718" s="6">
        <v>46118</v>
      </c>
      <c r="B718" s="7"/>
      <c r="C718" s="7">
        <v>2999</v>
      </c>
      <c r="D718" s="7" t="s">
        <v>13</v>
      </c>
      <c r="E718" s="7">
        <v>2263.1999999999998</v>
      </c>
    </row>
    <row r="719" spans="1:5">
      <c r="A719" s="5">
        <v>46118</v>
      </c>
      <c r="C719">
        <v>1160</v>
      </c>
      <c r="D719" t="s">
        <v>38</v>
      </c>
      <c r="E719">
        <v>-1362240</v>
      </c>
    </row>
    <row r="720" spans="1:5">
      <c r="A720" s="5">
        <v>46118</v>
      </c>
      <c r="C720">
        <v>1233</v>
      </c>
      <c r="D720" t="s">
        <v>14</v>
      </c>
      <c r="E720">
        <v>-227430</v>
      </c>
    </row>
    <row r="721" spans="1:5">
      <c r="A721" s="5">
        <v>46118</v>
      </c>
      <c r="C721">
        <v>1285</v>
      </c>
      <c r="D721" t="s">
        <v>39</v>
      </c>
      <c r="E721">
        <v>-1896556</v>
      </c>
    </row>
    <row r="722" spans="1:5">
      <c r="A722" s="5">
        <v>46118</v>
      </c>
      <c r="C722">
        <v>1371</v>
      </c>
      <c r="D722" t="s">
        <v>15</v>
      </c>
      <c r="E722">
        <v>-7980</v>
      </c>
    </row>
    <row r="723" spans="1:5">
      <c r="A723" s="5">
        <v>46118</v>
      </c>
      <c r="C723">
        <v>2142</v>
      </c>
      <c r="D723" t="s">
        <v>40</v>
      </c>
      <c r="E723" s="8">
        <v>232073</v>
      </c>
    </row>
    <row r="724" spans="1:5">
      <c r="A724" s="5">
        <v>46118</v>
      </c>
      <c r="C724">
        <v>2142</v>
      </c>
      <c r="D724" t="s">
        <v>41</v>
      </c>
      <c r="E724" s="8">
        <v>107808</v>
      </c>
    </row>
    <row r="725" spans="1:5">
      <c r="A725" s="5">
        <v>46118</v>
      </c>
      <c r="C725">
        <v>2142</v>
      </c>
      <c r="D725" t="s">
        <v>42</v>
      </c>
      <c r="E725" s="8">
        <v>523340</v>
      </c>
    </row>
    <row r="726" spans="1:5">
      <c r="A726" s="5">
        <v>46118</v>
      </c>
      <c r="C726">
        <v>2142</v>
      </c>
      <c r="D726" t="s">
        <v>16</v>
      </c>
      <c r="E726" s="8">
        <v>505789</v>
      </c>
    </row>
    <row r="727" spans="1:5">
      <c r="A727" s="5">
        <v>46118</v>
      </c>
      <c r="C727">
        <v>2142</v>
      </c>
      <c r="D727" t="s">
        <v>43</v>
      </c>
      <c r="E727" s="8">
        <v>333121</v>
      </c>
    </row>
    <row r="728" spans="1:5">
      <c r="A728" s="5">
        <v>46118</v>
      </c>
      <c r="C728">
        <v>2142</v>
      </c>
      <c r="D728" t="s">
        <v>44</v>
      </c>
      <c r="E728" s="8">
        <v>137202</v>
      </c>
    </row>
    <row r="729" spans="1:5">
      <c r="A729" s="5">
        <v>46118</v>
      </c>
      <c r="C729">
        <v>3182</v>
      </c>
      <c r="D729" t="s">
        <v>45</v>
      </c>
      <c r="E729">
        <v>-19753803</v>
      </c>
    </row>
    <row r="730" spans="1:5">
      <c r="A730" s="5">
        <v>46118</v>
      </c>
      <c r="C730">
        <v>3339</v>
      </c>
      <c r="D730" t="s">
        <v>9</v>
      </c>
      <c r="E730">
        <v>-30915.59</v>
      </c>
    </row>
    <row r="731" spans="1:5">
      <c r="A731" s="5">
        <v>46118</v>
      </c>
      <c r="C731">
        <v>4065</v>
      </c>
      <c r="D731" t="s">
        <v>46</v>
      </c>
      <c r="E731" s="8">
        <v>82250</v>
      </c>
    </row>
    <row r="732" spans="1:5">
      <c r="A732" s="5">
        <v>46118</v>
      </c>
      <c r="C732">
        <v>4065</v>
      </c>
      <c r="D732" t="s">
        <v>47</v>
      </c>
      <c r="E732" s="8">
        <v>206640</v>
      </c>
    </row>
    <row r="733" spans="1:5">
      <c r="A733" s="5">
        <v>46118</v>
      </c>
      <c r="C733">
        <v>4160</v>
      </c>
      <c r="D733" t="s">
        <v>8</v>
      </c>
      <c r="E733" s="8">
        <v>577403</v>
      </c>
    </row>
    <row r="734" spans="1:5">
      <c r="A734" s="5">
        <v>46118</v>
      </c>
      <c r="C734">
        <v>4160</v>
      </c>
      <c r="D734" t="s">
        <v>8</v>
      </c>
      <c r="E734" s="8">
        <v>181722</v>
      </c>
    </row>
    <row r="735" spans="1:5">
      <c r="A735" s="5">
        <v>46118</v>
      </c>
      <c r="C735">
        <v>4160</v>
      </c>
      <c r="D735" t="s">
        <v>8</v>
      </c>
      <c r="E735" s="8">
        <v>168989</v>
      </c>
    </row>
    <row r="736" spans="1:5">
      <c r="A736" s="5">
        <v>46118</v>
      </c>
      <c r="C736">
        <v>4160</v>
      </c>
      <c r="D736" t="s">
        <v>8</v>
      </c>
      <c r="E736" s="8">
        <v>222081</v>
      </c>
    </row>
    <row r="737" spans="1:5">
      <c r="A737" s="5">
        <v>46118</v>
      </c>
      <c r="C737">
        <v>4160</v>
      </c>
      <c r="D737" t="s">
        <v>8</v>
      </c>
      <c r="E737" s="8">
        <v>647500</v>
      </c>
    </row>
    <row r="738" spans="1:5">
      <c r="A738" s="5">
        <v>46118</v>
      </c>
      <c r="C738">
        <v>4160</v>
      </c>
      <c r="D738" t="s">
        <v>8</v>
      </c>
      <c r="E738" s="8">
        <v>174552</v>
      </c>
    </row>
    <row r="739" spans="1:5">
      <c r="A739" s="5">
        <v>46118</v>
      </c>
      <c r="C739">
        <v>4160</v>
      </c>
      <c r="D739" t="s">
        <v>8</v>
      </c>
      <c r="E739" s="8">
        <v>204234</v>
      </c>
    </row>
    <row r="740" spans="1:5">
      <c r="A740" s="5">
        <v>46118</v>
      </c>
      <c r="C740">
        <v>4160</v>
      </c>
      <c r="D740" t="s">
        <v>8</v>
      </c>
      <c r="E740" s="8">
        <v>308497</v>
      </c>
    </row>
    <row r="741" spans="1:5">
      <c r="A741" s="5">
        <v>46118</v>
      </c>
      <c r="C741">
        <v>4160</v>
      </c>
      <c r="D741" t="s">
        <v>8</v>
      </c>
      <c r="E741" s="8">
        <v>119388</v>
      </c>
    </row>
    <row r="742" spans="1:5">
      <c r="A742" s="5">
        <v>46118</v>
      </c>
      <c r="C742">
        <v>4160</v>
      </c>
      <c r="D742" t="s">
        <v>8</v>
      </c>
      <c r="E742" s="8">
        <v>438261</v>
      </c>
    </row>
    <row r="743" spans="1:5">
      <c r="A743" s="5">
        <v>46118</v>
      </c>
      <c r="C743">
        <v>4160</v>
      </c>
      <c r="D743" t="s">
        <v>8</v>
      </c>
      <c r="E743" s="8">
        <v>365363</v>
      </c>
    </row>
    <row r="744" spans="1:5">
      <c r="A744" s="5">
        <v>46118</v>
      </c>
      <c r="C744">
        <v>4160</v>
      </c>
      <c r="D744" t="s">
        <v>8</v>
      </c>
      <c r="E744" s="8">
        <v>192582</v>
      </c>
    </row>
    <row r="745" spans="1:5">
      <c r="A745" s="5">
        <v>46118</v>
      </c>
      <c r="C745">
        <v>4160</v>
      </c>
      <c r="D745" t="s">
        <v>8</v>
      </c>
      <c r="E745" s="8">
        <v>110160</v>
      </c>
    </row>
    <row r="746" spans="1:5">
      <c r="A746" s="5">
        <v>46118</v>
      </c>
      <c r="C746">
        <v>4160</v>
      </c>
      <c r="D746" t="s">
        <v>8</v>
      </c>
      <c r="E746" s="8">
        <v>316372</v>
      </c>
    </row>
    <row r="747" spans="1:5">
      <c r="A747" s="5">
        <v>46118</v>
      </c>
      <c r="C747">
        <v>4160</v>
      </c>
      <c r="D747" t="s">
        <v>8</v>
      </c>
      <c r="E747" s="8">
        <v>211336</v>
      </c>
    </row>
    <row r="748" spans="1:5">
      <c r="A748" s="5">
        <v>46118</v>
      </c>
      <c r="C748">
        <v>4160</v>
      </c>
      <c r="D748" t="s">
        <v>8</v>
      </c>
      <c r="E748" s="8">
        <v>220929</v>
      </c>
    </row>
    <row r="749" spans="1:5">
      <c r="A749" s="5">
        <v>46118</v>
      </c>
      <c r="C749">
        <v>4160</v>
      </c>
      <c r="D749" t="s">
        <v>8</v>
      </c>
      <c r="E749" s="8">
        <v>104560</v>
      </c>
    </row>
    <row r="750" spans="1:5">
      <c r="A750" s="5">
        <v>46118</v>
      </c>
      <c r="C750">
        <v>5376</v>
      </c>
      <c r="D750" t="s">
        <v>48</v>
      </c>
      <c r="E750" s="8">
        <v>332486</v>
      </c>
    </row>
    <row r="751" spans="1:5">
      <c r="A751" s="5">
        <v>46118</v>
      </c>
      <c r="C751">
        <v>5376</v>
      </c>
      <c r="D751" t="s">
        <v>49</v>
      </c>
      <c r="E751" s="8">
        <v>4986649</v>
      </c>
    </row>
    <row r="752" spans="1:5">
      <c r="A752" s="5">
        <v>46118</v>
      </c>
      <c r="C752">
        <v>5376</v>
      </c>
      <c r="D752" t="s">
        <v>50</v>
      </c>
      <c r="E752" s="8">
        <v>599038</v>
      </c>
    </row>
    <row r="753" spans="1:9">
      <c r="A753" s="5">
        <v>46118</v>
      </c>
      <c r="C753">
        <v>5376</v>
      </c>
      <c r="D753" t="s">
        <v>51</v>
      </c>
      <c r="E753" s="8">
        <v>835871</v>
      </c>
      <c r="F753" t="s">
        <v>54</v>
      </c>
    </row>
    <row r="754" spans="1:9">
      <c r="A754" s="5">
        <v>46118</v>
      </c>
      <c r="C754">
        <v>8162</v>
      </c>
      <c r="D754" t="s">
        <v>52</v>
      </c>
      <c r="E754">
        <v>-1413680</v>
      </c>
    </row>
    <row r="755" spans="1:9">
      <c r="A755" s="5">
        <v>46118</v>
      </c>
      <c r="C755">
        <v>8162</v>
      </c>
      <c r="D755" t="s">
        <v>53</v>
      </c>
      <c r="E755">
        <v>-4722230</v>
      </c>
    </row>
    <row r="756" spans="1:9">
      <c r="A756" s="5">
        <v>46118</v>
      </c>
      <c r="C756">
        <v>9124</v>
      </c>
      <c r="D756" t="s">
        <v>12</v>
      </c>
      <c r="E756" s="8">
        <v>82744</v>
      </c>
    </row>
    <row r="757" spans="1:9">
      <c r="A757" s="5">
        <v>46118</v>
      </c>
      <c r="C757">
        <v>9124</v>
      </c>
      <c r="D757" t="s">
        <v>12</v>
      </c>
      <c r="E757" s="8">
        <v>702872</v>
      </c>
    </row>
    <row r="758" spans="1:9">
      <c r="A758" s="5">
        <v>46118</v>
      </c>
      <c r="C758">
        <v>9124</v>
      </c>
      <c r="D758" t="s">
        <v>12</v>
      </c>
      <c r="E758" s="8">
        <v>53888</v>
      </c>
    </row>
    <row r="759" spans="1:9">
      <c r="A759" s="5">
        <v>46118</v>
      </c>
      <c r="C759">
        <v>9124</v>
      </c>
      <c r="D759" t="s">
        <v>12</v>
      </c>
      <c r="E759" s="8">
        <v>106674</v>
      </c>
    </row>
    <row r="760" spans="1:9">
      <c r="A760" s="5">
        <v>46118</v>
      </c>
      <c r="C760">
        <v>9124</v>
      </c>
      <c r="D760" t="s">
        <v>12</v>
      </c>
      <c r="E760" s="8">
        <v>180373</v>
      </c>
    </row>
    <row r="761" spans="1:9">
      <c r="A761" s="5">
        <v>46118</v>
      </c>
      <c r="C761">
        <v>9124</v>
      </c>
      <c r="D761" t="s">
        <v>12</v>
      </c>
      <c r="E761" s="8">
        <v>182790</v>
      </c>
    </row>
    <row r="762" spans="1:9">
      <c r="A762" s="5">
        <v>46118</v>
      </c>
      <c r="C762">
        <v>9124</v>
      </c>
      <c r="D762" t="s">
        <v>12</v>
      </c>
      <c r="E762" s="9">
        <v>150000</v>
      </c>
    </row>
    <row r="763" spans="1:9">
      <c r="A763" s="5">
        <v>46118</v>
      </c>
      <c r="C763">
        <v>9124</v>
      </c>
      <c r="D763" t="s">
        <v>12</v>
      </c>
      <c r="E763" s="8">
        <v>643000</v>
      </c>
    </row>
    <row r="764" spans="1:9">
      <c r="A764" s="5">
        <v>46118</v>
      </c>
      <c r="C764">
        <v>9124</v>
      </c>
      <c r="D764" t="s">
        <v>12</v>
      </c>
      <c r="E764" s="8">
        <v>1598716</v>
      </c>
    </row>
    <row r="765" spans="1:9">
      <c r="A765" s="5">
        <v>46118</v>
      </c>
      <c r="C765">
        <v>9954</v>
      </c>
      <c r="D765" t="s">
        <v>30</v>
      </c>
      <c r="E765">
        <v>-3990</v>
      </c>
    </row>
    <row r="766" spans="1:9">
      <c r="A766" s="6">
        <v>46117</v>
      </c>
      <c r="B766" s="7"/>
      <c r="C766" s="7">
        <v>2999</v>
      </c>
      <c r="D766" s="7" t="s">
        <v>13</v>
      </c>
      <c r="E766" s="7">
        <v>2211.75</v>
      </c>
    </row>
    <row r="767" spans="1:9">
      <c r="A767" s="5">
        <v>46117</v>
      </c>
      <c r="C767">
        <v>4160</v>
      </c>
      <c r="D767" t="s">
        <v>8</v>
      </c>
      <c r="E767" s="10">
        <v>148033</v>
      </c>
      <c r="F767" s="10" t="s">
        <v>104</v>
      </c>
      <c r="G767" s="10"/>
      <c r="H767" s="10"/>
      <c r="I767" s="10"/>
    </row>
    <row r="768" spans="1:9">
      <c r="A768" s="5">
        <v>46117</v>
      </c>
      <c r="C768">
        <v>4160</v>
      </c>
      <c r="D768" t="s">
        <v>8</v>
      </c>
      <c r="E768" s="8">
        <v>200000</v>
      </c>
    </row>
    <row r="769" spans="1:6">
      <c r="A769" s="5">
        <v>46117</v>
      </c>
      <c r="C769">
        <v>4511</v>
      </c>
      <c r="D769" t="s">
        <v>31</v>
      </c>
      <c r="E769" s="8">
        <v>597000</v>
      </c>
    </row>
    <row r="770" spans="1:6">
      <c r="A770" s="5">
        <v>46117</v>
      </c>
      <c r="C770">
        <v>4511</v>
      </c>
      <c r="D770" t="s">
        <v>31</v>
      </c>
      <c r="E770" s="8">
        <v>800000</v>
      </c>
      <c r="F770" s="12"/>
    </row>
    <row r="771" spans="1:6">
      <c r="A771" s="6">
        <v>46116</v>
      </c>
      <c r="B771" s="7"/>
      <c r="C771" s="7">
        <v>2999</v>
      </c>
      <c r="D771" s="7" t="s">
        <v>13</v>
      </c>
      <c r="E771" s="7">
        <v>2202.17</v>
      </c>
      <c r="F771" s="12"/>
    </row>
    <row r="772" spans="1:6">
      <c r="A772" s="5">
        <v>46116</v>
      </c>
      <c r="C772">
        <v>4027</v>
      </c>
      <c r="D772" t="s">
        <v>32</v>
      </c>
      <c r="E772" s="8">
        <v>215889</v>
      </c>
      <c r="F772" s="12"/>
    </row>
    <row r="773" spans="1:6">
      <c r="A773" s="5">
        <v>46116</v>
      </c>
      <c r="C773">
        <v>4065</v>
      </c>
      <c r="D773" t="s">
        <v>33</v>
      </c>
      <c r="E773" s="8">
        <v>512249</v>
      </c>
    </row>
    <row r="774" spans="1:6">
      <c r="A774" s="5">
        <v>46116</v>
      </c>
      <c r="C774">
        <v>4065</v>
      </c>
      <c r="D774" t="s">
        <v>27</v>
      </c>
      <c r="E774" s="8">
        <v>152406</v>
      </c>
    </row>
    <row r="775" spans="1:6">
      <c r="A775" s="5">
        <v>46116</v>
      </c>
      <c r="C775">
        <v>4065</v>
      </c>
      <c r="D775" t="s">
        <v>34</v>
      </c>
      <c r="E775" s="8">
        <v>3374</v>
      </c>
    </row>
    <row r="776" spans="1:6">
      <c r="A776" s="5">
        <v>46116</v>
      </c>
      <c r="C776">
        <v>4065</v>
      </c>
      <c r="D776" t="s">
        <v>35</v>
      </c>
      <c r="E776" s="8">
        <v>87306</v>
      </c>
    </row>
    <row r="777" spans="1:6">
      <c r="A777" s="5">
        <v>46116</v>
      </c>
      <c r="C777">
        <v>4160</v>
      </c>
      <c r="D777" t="s">
        <v>8</v>
      </c>
      <c r="E777" s="8">
        <v>350187</v>
      </c>
    </row>
    <row r="778" spans="1:6">
      <c r="A778" s="5">
        <v>46116</v>
      </c>
      <c r="C778">
        <v>4160</v>
      </c>
      <c r="D778" t="s">
        <v>8</v>
      </c>
      <c r="E778" s="8">
        <v>233242</v>
      </c>
    </row>
    <row r="779" spans="1:6">
      <c r="A779" s="5">
        <v>46116</v>
      </c>
      <c r="C779">
        <v>4160</v>
      </c>
      <c r="D779" t="s">
        <v>8</v>
      </c>
      <c r="E779" s="8">
        <v>339043</v>
      </c>
    </row>
    <row r="780" spans="1:6">
      <c r="A780" s="5">
        <v>46116</v>
      </c>
      <c r="C780">
        <v>4160</v>
      </c>
      <c r="D780" t="s">
        <v>8</v>
      </c>
      <c r="E780" s="8">
        <v>138794</v>
      </c>
    </row>
    <row r="781" spans="1:6">
      <c r="A781" s="5">
        <v>46116</v>
      </c>
      <c r="C781">
        <v>4160</v>
      </c>
      <c r="D781" t="s">
        <v>8</v>
      </c>
      <c r="E781" s="8">
        <v>108972</v>
      </c>
    </row>
    <row r="782" spans="1:6">
      <c r="A782" s="5">
        <v>46116</v>
      </c>
      <c r="C782">
        <v>4160</v>
      </c>
      <c r="D782" t="s">
        <v>8</v>
      </c>
      <c r="E782" s="8">
        <v>458217</v>
      </c>
    </row>
    <row r="783" spans="1:6">
      <c r="A783" s="5">
        <v>46116</v>
      </c>
      <c r="C783">
        <v>4160</v>
      </c>
      <c r="D783" t="s">
        <v>8</v>
      </c>
      <c r="E783" s="8">
        <v>300483</v>
      </c>
    </row>
    <row r="784" spans="1:6">
      <c r="A784" s="5">
        <v>46116</v>
      </c>
      <c r="C784">
        <v>4160</v>
      </c>
      <c r="D784" t="s">
        <v>8</v>
      </c>
      <c r="E784" s="8">
        <v>131052</v>
      </c>
    </row>
    <row r="785" spans="1:5">
      <c r="A785" s="5">
        <v>46116</v>
      </c>
      <c r="C785">
        <v>4160</v>
      </c>
      <c r="D785" t="s">
        <v>8</v>
      </c>
      <c r="E785" s="8">
        <v>300342</v>
      </c>
    </row>
    <row r="786" spans="1:5">
      <c r="A786" s="5">
        <v>46116</v>
      </c>
      <c r="C786">
        <v>4160</v>
      </c>
      <c r="D786" t="s">
        <v>8</v>
      </c>
      <c r="E786" s="8">
        <v>114788</v>
      </c>
    </row>
    <row r="787" spans="1:5">
      <c r="A787" s="5">
        <v>46116</v>
      </c>
      <c r="C787">
        <v>4160</v>
      </c>
      <c r="D787" t="s">
        <v>8</v>
      </c>
      <c r="E787" s="8">
        <v>224000</v>
      </c>
    </row>
    <row r="788" spans="1:5">
      <c r="A788" s="5">
        <v>46116</v>
      </c>
      <c r="C788">
        <v>4160</v>
      </c>
      <c r="D788" t="s">
        <v>8</v>
      </c>
      <c r="E788" s="8">
        <v>370500</v>
      </c>
    </row>
    <row r="789" spans="1:5">
      <c r="A789" s="5">
        <v>46116</v>
      </c>
      <c r="C789">
        <v>4160</v>
      </c>
      <c r="D789" t="s">
        <v>8</v>
      </c>
      <c r="E789" s="8">
        <v>57889</v>
      </c>
    </row>
    <row r="790" spans="1:5">
      <c r="A790" s="5">
        <v>46116</v>
      </c>
      <c r="C790">
        <v>4160</v>
      </c>
      <c r="D790" t="s">
        <v>8</v>
      </c>
      <c r="E790" s="8">
        <v>387232</v>
      </c>
    </row>
    <row r="791" spans="1:5">
      <c r="A791" s="5">
        <v>46116</v>
      </c>
      <c r="C791">
        <v>4160</v>
      </c>
      <c r="D791" t="s">
        <v>8</v>
      </c>
      <c r="E791" s="8">
        <v>194689</v>
      </c>
    </row>
    <row r="792" spans="1:5">
      <c r="A792" s="5">
        <v>46116</v>
      </c>
      <c r="C792">
        <v>4160</v>
      </c>
      <c r="D792" t="s">
        <v>8</v>
      </c>
      <c r="E792" s="8">
        <v>331642</v>
      </c>
    </row>
    <row r="793" spans="1:5">
      <c r="A793" s="5">
        <v>46116</v>
      </c>
      <c r="C793">
        <v>4160</v>
      </c>
      <c r="D793" t="s">
        <v>8</v>
      </c>
      <c r="E793" s="8">
        <v>425063</v>
      </c>
    </row>
    <row r="794" spans="1:5">
      <c r="A794" s="5">
        <v>46116</v>
      </c>
      <c r="C794">
        <v>4160</v>
      </c>
      <c r="D794" t="s">
        <v>8</v>
      </c>
      <c r="E794" s="8">
        <v>201750</v>
      </c>
    </row>
    <row r="795" spans="1:5">
      <c r="A795" s="5">
        <v>46116</v>
      </c>
      <c r="C795">
        <v>4160</v>
      </c>
      <c r="D795" t="s">
        <v>8</v>
      </c>
      <c r="E795" s="8">
        <v>266192</v>
      </c>
    </row>
    <row r="796" spans="1:5">
      <c r="A796" s="5">
        <v>46116</v>
      </c>
      <c r="C796">
        <v>4160</v>
      </c>
      <c r="D796" t="s">
        <v>8</v>
      </c>
      <c r="E796" s="8">
        <v>167392</v>
      </c>
    </row>
    <row r="797" spans="1:5">
      <c r="A797" s="5">
        <v>46116</v>
      </c>
      <c r="C797">
        <v>4160</v>
      </c>
      <c r="D797" t="s">
        <v>8</v>
      </c>
      <c r="E797" s="8">
        <v>336484</v>
      </c>
    </row>
    <row r="798" spans="1:5">
      <c r="A798" s="5">
        <v>46116</v>
      </c>
      <c r="C798">
        <v>4160</v>
      </c>
      <c r="D798" t="s">
        <v>8</v>
      </c>
      <c r="E798" s="8">
        <v>567789</v>
      </c>
    </row>
    <row r="799" spans="1:5">
      <c r="A799" s="5">
        <v>46116</v>
      </c>
      <c r="C799">
        <v>4160</v>
      </c>
      <c r="D799" t="s">
        <v>8</v>
      </c>
      <c r="E799" s="8">
        <v>185638</v>
      </c>
    </row>
    <row r="800" spans="1:5">
      <c r="A800" s="5">
        <v>46116</v>
      </c>
      <c r="C800">
        <v>4160</v>
      </c>
      <c r="D800" t="s">
        <v>8</v>
      </c>
      <c r="E800" s="8">
        <v>769417</v>
      </c>
    </row>
    <row r="801" spans="1:9">
      <c r="A801" s="5">
        <v>46116</v>
      </c>
      <c r="C801">
        <v>4160</v>
      </c>
      <c r="D801" t="s">
        <v>8</v>
      </c>
      <c r="E801" s="8">
        <v>207350</v>
      </c>
    </row>
    <row r="802" spans="1:9">
      <c r="A802" s="5">
        <v>46116</v>
      </c>
      <c r="C802">
        <v>4160</v>
      </c>
      <c r="D802" t="s">
        <v>8</v>
      </c>
      <c r="E802" s="8">
        <v>269900</v>
      </c>
    </row>
    <row r="803" spans="1:9">
      <c r="A803" s="5">
        <v>46116</v>
      </c>
      <c r="C803">
        <v>4160</v>
      </c>
      <c r="D803" t="s">
        <v>8</v>
      </c>
      <c r="E803" s="8">
        <v>199218</v>
      </c>
    </row>
    <row r="804" spans="1:9">
      <c r="A804" s="5">
        <v>46116</v>
      </c>
      <c r="C804">
        <v>5376</v>
      </c>
      <c r="D804" t="s">
        <v>36</v>
      </c>
      <c r="E804" s="8">
        <v>88059</v>
      </c>
    </row>
    <row r="805" spans="1:9">
      <c r="A805" s="5">
        <v>46116</v>
      </c>
      <c r="C805">
        <v>9124</v>
      </c>
      <c r="D805" t="s">
        <v>12</v>
      </c>
      <c r="E805" s="8">
        <v>400446</v>
      </c>
    </row>
    <row r="806" spans="1:9">
      <c r="A806" s="5">
        <v>46116</v>
      </c>
      <c r="C806">
        <v>9124</v>
      </c>
      <c r="D806" t="s">
        <v>12</v>
      </c>
      <c r="E806" s="8">
        <v>97308</v>
      </c>
    </row>
    <row r="807" spans="1:9">
      <c r="A807" s="5">
        <v>46116</v>
      </c>
      <c r="C807">
        <v>9124</v>
      </c>
      <c r="D807" t="s">
        <v>12</v>
      </c>
      <c r="E807" s="8">
        <v>622321</v>
      </c>
    </row>
    <row r="808" spans="1:9">
      <c r="A808" s="5">
        <v>46116</v>
      </c>
      <c r="C808">
        <v>9124</v>
      </c>
      <c r="D808" t="s">
        <v>12</v>
      </c>
      <c r="E808" s="8">
        <v>776300</v>
      </c>
    </row>
    <row r="809" spans="1:9">
      <c r="A809" s="5">
        <v>46116</v>
      </c>
      <c r="C809">
        <v>9124</v>
      </c>
      <c r="D809" t="s">
        <v>12</v>
      </c>
      <c r="E809" s="8">
        <v>38729</v>
      </c>
    </row>
    <row r="810" spans="1:9">
      <c r="A810" s="5">
        <v>46116</v>
      </c>
      <c r="C810">
        <v>9124</v>
      </c>
      <c r="D810" t="s">
        <v>12</v>
      </c>
      <c r="E810" s="8">
        <v>151412</v>
      </c>
    </row>
    <row r="811" spans="1:9">
      <c r="A811" s="5">
        <v>46116</v>
      </c>
      <c r="C811">
        <v>9124</v>
      </c>
      <c r="D811" t="s">
        <v>12</v>
      </c>
      <c r="E811" s="8">
        <v>291547</v>
      </c>
    </row>
    <row r="812" spans="1:9">
      <c r="A812" s="5">
        <v>46116</v>
      </c>
      <c r="C812">
        <v>9124</v>
      </c>
      <c r="D812" t="s">
        <v>12</v>
      </c>
      <c r="E812" s="8">
        <v>864120</v>
      </c>
    </row>
    <row r="813" spans="1:9">
      <c r="A813" s="5">
        <v>46116</v>
      </c>
      <c r="C813">
        <v>9124</v>
      </c>
      <c r="D813" t="s">
        <v>12</v>
      </c>
      <c r="E813" s="8">
        <v>118071</v>
      </c>
    </row>
    <row r="814" spans="1:9">
      <c r="A814" s="5">
        <v>46116</v>
      </c>
      <c r="C814">
        <v>9124</v>
      </c>
      <c r="D814" t="s">
        <v>12</v>
      </c>
      <c r="E814" s="8">
        <v>586000</v>
      </c>
      <c r="F814" s="11">
        <f>+E814-175352</f>
        <v>410648</v>
      </c>
      <c r="G814" s="10" t="s">
        <v>37</v>
      </c>
      <c r="H814" s="10"/>
      <c r="I814" s="10"/>
    </row>
    <row r="815" spans="1:9">
      <c r="A815" s="5">
        <v>46116</v>
      </c>
      <c r="C815">
        <v>9124</v>
      </c>
      <c r="D815" t="s">
        <v>12</v>
      </c>
      <c r="E815" s="8">
        <v>600000</v>
      </c>
    </row>
    <row r="816" spans="1:9">
      <c r="A816" s="5">
        <v>46116</v>
      </c>
      <c r="C816">
        <v>9124</v>
      </c>
      <c r="D816" t="s">
        <v>12</v>
      </c>
      <c r="E816" s="8">
        <v>113034</v>
      </c>
    </row>
    <row r="817" spans="1:9">
      <c r="A817" s="5">
        <v>46116</v>
      </c>
      <c r="C817">
        <v>9124</v>
      </c>
      <c r="D817" t="s">
        <v>12</v>
      </c>
      <c r="E817" s="8">
        <v>309000</v>
      </c>
    </row>
    <row r="818" spans="1:9">
      <c r="A818" s="5">
        <v>46116</v>
      </c>
      <c r="C818">
        <v>9124</v>
      </c>
      <c r="D818" t="s">
        <v>12</v>
      </c>
      <c r="E818" s="8">
        <v>252713</v>
      </c>
    </row>
    <row r="819" spans="1:9">
      <c r="A819" s="5">
        <v>46116</v>
      </c>
      <c r="C819">
        <v>9124</v>
      </c>
      <c r="D819" t="s">
        <v>12</v>
      </c>
      <c r="E819" s="8">
        <v>623677</v>
      </c>
    </row>
    <row r="820" spans="1:9">
      <c r="A820" s="6">
        <v>46115</v>
      </c>
      <c r="B820" s="7"/>
      <c r="C820" s="7">
        <v>2999</v>
      </c>
      <c r="D820" s="7" t="s">
        <v>13</v>
      </c>
      <c r="E820" s="7">
        <v>2122.48</v>
      </c>
    </row>
    <row r="821" spans="1:9">
      <c r="A821" s="5">
        <v>46115</v>
      </c>
      <c r="C821">
        <v>3339</v>
      </c>
      <c r="D821" t="s">
        <v>9</v>
      </c>
      <c r="E821">
        <v>-25530.05</v>
      </c>
    </row>
    <row r="822" spans="1:9">
      <c r="A822" s="5">
        <v>46115</v>
      </c>
      <c r="C822">
        <v>4160</v>
      </c>
      <c r="D822" t="s">
        <v>8</v>
      </c>
      <c r="E822" s="8">
        <v>573900</v>
      </c>
    </row>
    <row r="823" spans="1:9">
      <c r="A823" s="5">
        <v>46115</v>
      </c>
      <c r="C823">
        <v>7513</v>
      </c>
      <c r="D823" t="s">
        <v>10</v>
      </c>
      <c r="E823">
        <v>-876859</v>
      </c>
    </row>
    <row r="824" spans="1:9">
      <c r="A824" s="5">
        <v>46115</v>
      </c>
      <c r="C824">
        <v>7513</v>
      </c>
      <c r="D824" t="s">
        <v>11</v>
      </c>
      <c r="E824">
        <v>-5505655</v>
      </c>
    </row>
    <row r="825" spans="1:9">
      <c r="A825" s="5">
        <v>46115</v>
      </c>
      <c r="C825">
        <v>9124</v>
      </c>
      <c r="D825" t="s">
        <v>12</v>
      </c>
      <c r="E825" s="8">
        <v>143408</v>
      </c>
    </row>
    <row r="826" spans="1:9">
      <c r="A826" s="5">
        <v>46115</v>
      </c>
      <c r="C826">
        <v>9124</v>
      </c>
      <c r="D826" t="s">
        <v>12</v>
      </c>
      <c r="E826" s="8">
        <v>1735352</v>
      </c>
      <c r="F826" s="11">
        <f>+E826-1399455</f>
        <v>335897</v>
      </c>
      <c r="G826" s="10" t="s">
        <v>197</v>
      </c>
      <c r="H826" s="10"/>
      <c r="I826" s="10"/>
    </row>
    <row r="827" spans="1:9">
      <c r="A827" s="5">
        <v>46115</v>
      </c>
      <c r="C827">
        <v>9124</v>
      </c>
      <c r="D827" t="s">
        <v>12</v>
      </c>
      <c r="E827" s="8">
        <v>327136</v>
      </c>
    </row>
    <row r="828" spans="1:9">
      <c r="A828" s="6">
        <v>46114</v>
      </c>
      <c r="B828" s="7"/>
      <c r="C828" s="7">
        <v>2999</v>
      </c>
      <c r="D828" s="7" t="s">
        <v>13</v>
      </c>
      <c r="E828" s="7">
        <v>2142.35</v>
      </c>
    </row>
    <row r="829" spans="1:9">
      <c r="A829" s="5">
        <v>46114</v>
      </c>
      <c r="C829">
        <v>4160</v>
      </c>
      <c r="D829" t="s">
        <v>8</v>
      </c>
      <c r="E829" s="8">
        <v>91041</v>
      </c>
    </row>
    <row r="830" spans="1:9">
      <c r="A830" s="6">
        <v>46113</v>
      </c>
      <c r="B830" s="7"/>
      <c r="C830" s="7">
        <v>2999</v>
      </c>
      <c r="D830" s="7" t="s">
        <v>13</v>
      </c>
      <c r="E830" s="7">
        <v>2141.84</v>
      </c>
    </row>
    <row r="831" spans="1:9">
      <c r="A831" s="5">
        <v>46113</v>
      </c>
      <c r="C831">
        <v>1233</v>
      </c>
      <c r="D831" t="s">
        <v>14</v>
      </c>
      <c r="E831">
        <v>-3032.4</v>
      </c>
    </row>
    <row r="832" spans="1:9">
      <c r="A832" s="5">
        <v>46113</v>
      </c>
      <c r="C832">
        <v>1233</v>
      </c>
      <c r="D832" t="s">
        <v>14</v>
      </c>
      <c r="E832">
        <v>-1516.2</v>
      </c>
    </row>
    <row r="833" spans="1:5">
      <c r="A833" s="5">
        <v>46113</v>
      </c>
      <c r="C833">
        <v>1233</v>
      </c>
      <c r="D833" t="s">
        <v>14</v>
      </c>
      <c r="E833">
        <v>-758.1</v>
      </c>
    </row>
    <row r="834" spans="1:5">
      <c r="A834" s="5">
        <v>46113</v>
      </c>
      <c r="C834">
        <v>1371</v>
      </c>
      <c r="D834" t="s">
        <v>15</v>
      </c>
      <c r="E834">
        <v>-3990</v>
      </c>
    </row>
    <row r="835" spans="1:5">
      <c r="A835" s="5">
        <v>46113</v>
      </c>
      <c r="C835">
        <v>1371</v>
      </c>
      <c r="D835" t="s">
        <v>15</v>
      </c>
      <c r="E835">
        <v>-11970</v>
      </c>
    </row>
    <row r="836" spans="1:5">
      <c r="A836" s="5">
        <v>46113</v>
      </c>
      <c r="C836">
        <v>1371</v>
      </c>
      <c r="D836" t="s">
        <v>15</v>
      </c>
      <c r="E836">
        <v>-7980</v>
      </c>
    </row>
    <row r="837" spans="1:5">
      <c r="A837" s="5">
        <v>46113</v>
      </c>
      <c r="C837">
        <v>2142</v>
      </c>
      <c r="D837" t="s">
        <v>16</v>
      </c>
      <c r="E837" s="8">
        <v>498544</v>
      </c>
    </row>
    <row r="838" spans="1:5">
      <c r="A838" s="5">
        <v>46113</v>
      </c>
      <c r="C838">
        <v>2142</v>
      </c>
      <c r="D838" t="s">
        <v>16</v>
      </c>
      <c r="E838" s="8">
        <v>407929</v>
      </c>
    </row>
    <row r="839" spans="1:5">
      <c r="A839" s="5">
        <v>46113</v>
      </c>
      <c r="C839">
        <v>2142</v>
      </c>
      <c r="D839" t="s">
        <v>17</v>
      </c>
      <c r="E839" s="8">
        <v>4142372</v>
      </c>
    </row>
    <row r="840" spans="1:5">
      <c r="A840" s="5">
        <v>46113</v>
      </c>
      <c r="C840">
        <v>2142</v>
      </c>
      <c r="D840" t="s">
        <v>18</v>
      </c>
      <c r="E840" s="8">
        <v>351161</v>
      </c>
    </row>
    <row r="841" spans="1:5">
      <c r="A841" s="5">
        <v>46113</v>
      </c>
      <c r="C841">
        <v>3277</v>
      </c>
      <c r="D841" t="s">
        <v>19</v>
      </c>
      <c r="E841">
        <v>-78000</v>
      </c>
    </row>
    <row r="842" spans="1:5">
      <c r="A842" s="5">
        <v>46113</v>
      </c>
      <c r="C842">
        <v>3339</v>
      </c>
      <c r="D842" t="s">
        <v>9</v>
      </c>
      <c r="E842">
        <v>-1224.22</v>
      </c>
    </row>
    <row r="843" spans="1:5">
      <c r="A843" s="5">
        <v>46113</v>
      </c>
      <c r="C843">
        <v>3350</v>
      </c>
      <c r="D843" t="s">
        <v>20</v>
      </c>
      <c r="E843">
        <v>-14820</v>
      </c>
    </row>
    <row r="844" spans="1:5">
      <c r="A844" s="5">
        <v>46113</v>
      </c>
      <c r="C844">
        <v>4027</v>
      </c>
      <c r="D844" t="s">
        <v>21</v>
      </c>
      <c r="E844" s="8">
        <v>345905</v>
      </c>
    </row>
    <row r="845" spans="1:5">
      <c r="A845" s="5">
        <v>46113</v>
      </c>
      <c r="C845">
        <v>4027</v>
      </c>
      <c r="D845" t="s">
        <v>22</v>
      </c>
      <c r="E845" s="8">
        <v>84900</v>
      </c>
    </row>
    <row r="846" spans="1:5">
      <c r="A846" s="5">
        <v>46113</v>
      </c>
      <c r="C846">
        <v>4027</v>
      </c>
      <c r="D846" t="s">
        <v>23</v>
      </c>
      <c r="E846" s="8">
        <v>286000</v>
      </c>
    </row>
    <row r="847" spans="1:5">
      <c r="A847" s="5">
        <v>46113</v>
      </c>
      <c r="C847">
        <v>4065</v>
      </c>
      <c r="D847" t="s">
        <v>24</v>
      </c>
      <c r="E847" s="8">
        <v>360000</v>
      </c>
    </row>
    <row r="848" spans="1:5">
      <c r="A848" s="5">
        <v>46113</v>
      </c>
      <c r="C848">
        <v>4065</v>
      </c>
      <c r="D848" t="s">
        <v>25</v>
      </c>
      <c r="E848" s="8">
        <v>62401</v>
      </c>
    </row>
    <row r="849" spans="1:5">
      <c r="A849" s="5">
        <v>46113</v>
      </c>
      <c r="C849">
        <v>4065</v>
      </c>
      <c r="D849" t="s">
        <v>26</v>
      </c>
      <c r="E849" s="8">
        <v>50911</v>
      </c>
    </row>
    <row r="850" spans="1:5">
      <c r="A850" s="5">
        <v>46113</v>
      </c>
      <c r="C850">
        <v>4065</v>
      </c>
      <c r="D850" t="s">
        <v>27</v>
      </c>
      <c r="E850" s="8">
        <v>99188</v>
      </c>
    </row>
    <row r="851" spans="1:5">
      <c r="A851" s="5">
        <v>46113</v>
      </c>
      <c r="C851">
        <v>4160</v>
      </c>
      <c r="D851" t="s">
        <v>8</v>
      </c>
      <c r="E851" s="8">
        <v>18650</v>
      </c>
    </row>
    <row r="852" spans="1:5">
      <c r="A852" s="5">
        <v>46113</v>
      </c>
      <c r="C852">
        <v>4160</v>
      </c>
      <c r="D852" t="s">
        <v>8</v>
      </c>
      <c r="E852" s="8">
        <v>36554</v>
      </c>
    </row>
    <row r="853" spans="1:5">
      <c r="A853" s="5">
        <v>46113</v>
      </c>
      <c r="C853">
        <v>4160</v>
      </c>
      <c r="D853" t="s">
        <v>8</v>
      </c>
      <c r="E853" s="8">
        <v>66030</v>
      </c>
    </row>
    <row r="854" spans="1:5">
      <c r="A854" s="5">
        <v>46113</v>
      </c>
      <c r="C854">
        <v>4160</v>
      </c>
      <c r="D854" t="s">
        <v>8</v>
      </c>
      <c r="E854" s="8">
        <v>104840</v>
      </c>
    </row>
    <row r="855" spans="1:5">
      <c r="A855" s="5">
        <v>46113</v>
      </c>
      <c r="C855">
        <v>4160</v>
      </c>
      <c r="D855" t="s">
        <v>8</v>
      </c>
      <c r="E855" s="8">
        <v>139902</v>
      </c>
    </row>
    <row r="856" spans="1:5">
      <c r="A856" s="5">
        <v>46113</v>
      </c>
      <c r="C856">
        <v>4160</v>
      </c>
      <c r="D856" t="s">
        <v>8</v>
      </c>
      <c r="E856" s="8">
        <v>416203</v>
      </c>
    </row>
    <row r="857" spans="1:5">
      <c r="A857" s="5">
        <v>46113</v>
      </c>
      <c r="C857">
        <v>4160</v>
      </c>
      <c r="D857" t="s">
        <v>8</v>
      </c>
      <c r="E857" s="8">
        <v>103400</v>
      </c>
    </row>
    <row r="858" spans="1:5">
      <c r="A858" s="5">
        <v>46113</v>
      </c>
      <c r="C858">
        <v>4160</v>
      </c>
      <c r="D858" t="s">
        <v>8</v>
      </c>
      <c r="E858" s="8">
        <v>240969</v>
      </c>
    </row>
    <row r="859" spans="1:5">
      <c r="A859" s="5">
        <v>46113</v>
      </c>
      <c r="C859">
        <v>4160</v>
      </c>
      <c r="D859" t="s">
        <v>8</v>
      </c>
      <c r="E859" s="8">
        <v>852905</v>
      </c>
    </row>
    <row r="860" spans="1:5">
      <c r="A860" s="5">
        <v>46113</v>
      </c>
      <c r="C860">
        <v>4160</v>
      </c>
      <c r="D860" t="s">
        <v>8</v>
      </c>
      <c r="E860" s="8">
        <v>115541</v>
      </c>
    </row>
    <row r="861" spans="1:5">
      <c r="A861" s="5">
        <v>46113</v>
      </c>
      <c r="C861">
        <v>5376</v>
      </c>
      <c r="D861" t="s">
        <v>28</v>
      </c>
      <c r="E861" s="8">
        <v>253599</v>
      </c>
    </row>
    <row r="862" spans="1:5">
      <c r="A862" s="5">
        <v>46113</v>
      </c>
      <c r="C862">
        <v>8162</v>
      </c>
      <c r="D862" t="s">
        <v>29</v>
      </c>
      <c r="E862">
        <v>-180000</v>
      </c>
    </row>
    <row r="863" spans="1:5">
      <c r="A863" s="5">
        <v>46113</v>
      </c>
      <c r="C863">
        <v>9124</v>
      </c>
      <c r="D863" t="s">
        <v>12</v>
      </c>
      <c r="E863" s="8">
        <v>140112</v>
      </c>
    </row>
    <row r="864" spans="1:5">
      <c r="A864" s="5">
        <v>46113</v>
      </c>
      <c r="C864">
        <v>9124</v>
      </c>
      <c r="D864" t="s">
        <v>12</v>
      </c>
      <c r="E864" s="8">
        <v>273381</v>
      </c>
    </row>
    <row r="865" spans="1:5">
      <c r="A865" s="5">
        <v>46113</v>
      </c>
      <c r="C865">
        <v>9124</v>
      </c>
      <c r="D865" t="s">
        <v>12</v>
      </c>
      <c r="E865" s="8">
        <v>97288</v>
      </c>
    </row>
    <row r="866" spans="1:5">
      <c r="A866" s="5">
        <v>46113</v>
      </c>
      <c r="C866">
        <v>9124</v>
      </c>
      <c r="D866" t="s">
        <v>12</v>
      </c>
      <c r="E866" s="8">
        <v>250095</v>
      </c>
    </row>
    <row r="867" spans="1:5">
      <c r="A867" s="5">
        <v>46113</v>
      </c>
      <c r="C867">
        <v>9124</v>
      </c>
      <c r="D867" t="s">
        <v>12</v>
      </c>
      <c r="E867" s="8">
        <v>324918</v>
      </c>
    </row>
    <row r="868" spans="1:5">
      <c r="A868" s="5">
        <v>46113</v>
      </c>
      <c r="C868">
        <v>9124</v>
      </c>
      <c r="D868" t="s">
        <v>12</v>
      </c>
      <c r="E868" s="8">
        <v>261590</v>
      </c>
    </row>
    <row r="869" spans="1:5">
      <c r="A869" s="5">
        <v>46113</v>
      </c>
      <c r="C869">
        <v>9124</v>
      </c>
      <c r="D869" t="s">
        <v>12</v>
      </c>
      <c r="E869" s="8">
        <v>653277</v>
      </c>
    </row>
    <row r="870" spans="1:5">
      <c r="A870" s="5">
        <v>46113</v>
      </c>
      <c r="C870">
        <v>9124</v>
      </c>
      <c r="D870" t="s">
        <v>12</v>
      </c>
      <c r="E870" s="8">
        <v>153858</v>
      </c>
    </row>
    <row r="871" spans="1:5">
      <c r="A871" s="5">
        <v>46113</v>
      </c>
      <c r="C871">
        <v>9124</v>
      </c>
      <c r="D871" t="s">
        <v>12</v>
      </c>
      <c r="E871" s="8">
        <v>150592</v>
      </c>
    </row>
    <row r="872" spans="1:5">
      <c r="A872" s="5">
        <v>46113</v>
      </c>
      <c r="C872">
        <v>9124</v>
      </c>
      <c r="D872" t="s">
        <v>12</v>
      </c>
      <c r="E872" s="8">
        <v>389170</v>
      </c>
    </row>
    <row r="873" spans="1:5">
      <c r="A873" s="5">
        <v>46113</v>
      </c>
      <c r="C873">
        <v>9124</v>
      </c>
      <c r="D873" t="s">
        <v>12</v>
      </c>
      <c r="E873" s="8">
        <v>440000</v>
      </c>
    </row>
    <row r="874" spans="1:5">
      <c r="A874" s="5">
        <v>46113</v>
      </c>
      <c r="C874">
        <v>9124</v>
      </c>
      <c r="D874" t="s">
        <v>12</v>
      </c>
      <c r="E874" s="8">
        <v>389500</v>
      </c>
    </row>
    <row r="875" spans="1:5">
      <c r="A875" s="5">
        <v>46113</v>
      </c>
      <c r="C875">
        <v>9124</v>
      </c>
      <c r="D875" t="s">
        <v>12</v>
      </c>
      <c r="E875" s="8">
        <v>311469</v>
      </c>
    </row>
    <row r="876" spans="1:5">
      <c r="A876" s="5">
        <v>46113</v>
      </c>
      <c r="C876">
        <v>9954</v>
      </c>
      <c r="D876" t="s">
        <v>30</v>
      </c>
      <c r="E876">
        <v>-3990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C2863-BFB6-4E53-B5A7-6DD10EF0511E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MOVIMIENTOS ABRIL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Bernardette</dc:creator>
  <cp:lastModifiedBy>ADMIN</cp:lastModifiedBy>
  <dcterms:created xsi:type="dcterms:W3CDTF">2026-04-04T14:04:39Z</dcterms:created>
  <dcterms:modified xsi:type="dcterms:W3CDTF">2026-05-20T16:17:47Z</dcterms:modified>
</cp:coreProperties>
</file>